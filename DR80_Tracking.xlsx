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690758\Desktop\4. UL Screening\"/>
    </mc:Choice>
  </mc:AlternateContent>
  <bookViews>
    <workbookView xWindow="0" yWindow="0" windowWidth="28800" windowHeight="12312"/>
  </bookViews>
  <sheets>
    <sheet name="Current DR80" sheetId="2" r:id="rId1"/>
    <sheet name="Sheet1" sheetId="1" r:id="rId2"/>
  </sheets>
  <externalReferences>
    <externalReference r:id="rId3"/>
  </externalReferences>
  <definedNames>
    <definedName name="_xlnm._FilterDatabase" localSheetId="0" hidden="1">'Current DR80'!#REF!</definedName>
    <definedName name="million">#REF!</definedName>
    <definedName name="thbusdfx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5" i="2" l="1"/>
  <c r="B114" i="2"/>
  <c r="B109" i="2"/>
  <c r="B108" i="2"/>
  <c r="B97" i="2"/>
  <c r="B96" i="2"/>
  <c r="B69" i="2"/>
  <c r="B68" i="2"/>
  <c r="B61" i="2"/>
  <c r="B60" i="2"/>
  <c r="B59" i="2"/>
  <c r="B55" i="2"/>
  <c r="B54" i="2"/>
  <c r="B53" i="2"/>
  <c r="B52" i="2"/>
  <c r="B51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K129" i="2"/>
  <c r="F114" i="2"/>
  <c r="I67" i="2"/>
  <c r="F58" i="2"/>
  <c r="E40" i="2"/>
  <c r="J129" i="2"/>
  <c r="E114" i="2"/>
  <c r="H67" i="2"/>
  <c r="E58" i="2"/>
  <c r="C39" i="2"/>
  <c r="G129" i="2"/>
  <c r="E67" i="2"/>
  <c r="I5" i="2"/>
  <c r="E81" i="2"/>
  <c r="H100" i="2"/>
  <c r="J40" i="2"/>
  <c r="J114" i="2"/>
  <c r="I40" i="2"/>
  <c r="E5" i="2"/>
  <c r="I58" i="2"/>
  <c r="H40" i="2"/>
  <c r="C4" i="2"/>
  <c r="K67" i="2"/>
  <c r="H58" i="2"/>
  <c r="C99" i="2"/>
  <c r="G58" i="2"/>
  <c r="I129" i="2"/>
  <c r="K81" i="2"/>
  <c r="G67" i="2"/>
  <c r="C57" i="2"/>
  <c r="I81" i="2"/>
  <c r="K5" i="2"/>
  <c r="H81" i="2"/>
  <c r="C66" i="2"/>
  <c r="J5" i="2"/>
  <c r="I100" i="2"/>
  <c r="G5" i="2"/>
  <c r="K58" i="2"/>
  <c r="H114" i="2"/>
  <c r="G40" i="2"/>
  <c r="F40" i="2"/>
  <c r="H129" i="2"/>
  <c r="C113" i="2"/>
  <c r="J81" i="2"/>
  <c r="F67" i="2"/>
  <c r="F129" i="2"/>
  <c r="C80" i="2"/>
  <c r="G100" i="2"/>
  <c r="E129" i="2"/>
  <c r="K100" i="2"/>
  <c r="G81" i="2"/>
  <c r="G114" i="2"/>
  <c r="C128" i="2"/>
  <c r="J100" i="2"/>
  <c r="F81" i="2"/>
  <c r="H5" i="2"/>
  <c r="K40" i="2"/>
  <c r="K114" i="2"/>
  <c r="F5" i="2"/>
  <c r="J58" i="2"/>
  <c r="F100" i="2"/>
  <c r="E100" i="2"/>
  <c r="J67" i="2"/>
  <c r="I114" i="2"/>
</calcChain>
</file>

<file path=xl/sharedStrings.xml><?xml version="1.0" encoding="utf-8"?>
<sst xmlns="http://schemas.openxmlformats.org/spreadsheetml/2006/main" count="278" uniqueCount="231">
  <si>
    <t>YTD</t>
  </si>
  <si>
    <t>1-month</t>
  </si>
  <si>
    <t>3-month</t>
  </si>
  <si>
    <t>6-month</t>
  </si>
  <si>
    <t>1-year</t>
  </si>
  <si>
    <t>3-year</t>
  </si>
  <si>
    <t>5-year</t>
  </si>
  <si>
    <t>id</t>
  </si>
  <si>
    <t>name</t>
  </si>
  <si>
    <t>pct_chg(dropna(px_last(2026-01-01,btoday()))).value</t>
  </si>
  <si>
    <r>
      <t>pct_chg(dropna(px_last(dates=range(-1m,0d))))</t>
    </r>
    <r>
      <rPr>
        <sz val="9"/>
        <color theme="0"/>
        <rFont val="Tahoma"/>
        <family val="2"/>
        <scheme val="minor"/>
      </rPr>
      <t>.value</t>
    </r>
  </si>
  <si>
    <t>pct_chg(dropna(px_last(dates=range(-3m,0d)))).value</t>
  </si>
  <si>
    <t>pct_chg(dropna(px_last(dates=range(-6m,0d)))).value</t>
  </si>
  <si>
    <t>pct_chg(dropna(px_last(dates=range(-1y,0d)))).value</t>
  </si>
  <si>
    <t>pct_chg(dropna(px_last(dates=range(-3y,0d)))).value</t>
  </si>
  <si>
    <t>pct_chg(dropna(px_last(dates=range(-5y,0d)))).value</t>
  </si>
  <si>
    <t>Semiconductor/ AI</t>
  </si>
  <si>
    <t>BABA80 TB Equity</t>
  </si>
  <si>
    <t>Alibaba Group Holding Ltd</t>
  </si>
  <si>
    <t>TENCEN80 TB Equity</t>
  </si>
  <si>
    <t>Tencent Holdings Ltd</t>
  </si>
  <si>
    <t>ZIJIN80 TB Equity</t>
  </si>
  <si>
    <t>Zijin Mining Group Co Ltd</t>
  </si>
  <si>
    <t>CATL80 TB Equity</t>
  </si>
  <si>
    <t>Contemporary Amperex Technolog</t>
  </si>
  <si>
    <t>AVGO80 TB Equity</t>
  </si>
  <si>
    <t>Broadcom Inc</t>
  </si>
  <si>
    <t>AMD80 TB Equity</t>
  </si>
  <si>
    <t>Advanced Micro Devices Inc</t>
  </si>
  <si>
    <t>XIAOMI80 TB Equity</t>
  </si>
  <si>
    <t>Xiaomi Corp</t>
  </si>
  <si>
    <t>BYDCOM80 TB Equity</t>
  </si>
  <si>
    <t>BYD Co Ltd</t>
  </si>
  <si>
    <t>TSLA80 TB Equity</t>
  </si>
  <si>
    <t>Tesla Inc</t>
  </si>
  <si>
    <t>AAPL80 TB Equity</t>
  </si>
  <si>
    <t>Apple Inc</t>
  </si>
  <si>
    <t>AMZN80 TB Equity</t>
  </si>
  <si>
    <t>Amazon.com Inc</t>
  </si>
  <si>
    <t>BIDU80 TB Equity</t>
  </si>
  <si>
    <t>Baidu Inc</t>
  </si>
  <si>
    <t>MSFT80 TB Equity</t>
  </si>
  <si>
    <t>Microsoft Corp</t>
  </si>
  <si>
    <t>NVDA80 TB Equity</t>
  </si>
  <si>
    <t>NVIDIA Corp</t>
  </si>
  <si>
    <t>GOOG80 TB Equity</t>
  </si>
  <si>
    <t>Alphabet Inc</t>
  </si>
  <si>
    <t>META80 TB Equity</t>
  </si>
  <si>
    <t>Meta Platforms Inc</t>
  </si>
  <si>
    <t>MU</t>
  </si>
  <si>
    <t>Micron Technology Inc</t>
  </si>
  <si>
    <t>Q1</t>
  </si>
  <si>
    <t>HOOD</t>
  </si>
  <si>
    <t>Robinhood Markets Inc</t>
  </si>
  <si>
    <t>Tokyo Electron Ltd</t>
  </si>
  <si>
    <t>002371</t>
  </si>
  <si>
    <t>NAURA Technology Group Co Ltd</t>
  </si>
  <si>
    <t>Cambricon Technologies Corp Lt</t>
  </si>
  <si>
    <t>China Yangtze Power Co Ltd</t>
  </si>
  <si>
    <t>Montage Technology Co Ltd</t>
  </si>
  <si>
    <t>Q2</t>
  </si>
  <si>
    <t>ANET</t>
  </si>
  <si>
    <t>Arista Networks Inc</t>
  </si>
  <si>
    <t>SNDK</t>
  </si>
  <si>
    <t>Sandisk Corp/DE</t>
  </si>
  <si>
    <t>LRCX</t>
  </si>
  <si>
    <t>Lam Research Corp</t>
  </si>
  <si>
    <t>Q3</t>
  </si>
  <si>
    <t>Victory Giant Technology Huizh</t>
  </si>
  <si>
    <t>GigaDevice Semiconductor Inc</t>
  </si>
  <si>
    <t>Hygon Information Technology C</t>
  </si>
  <si>
    <t>Ganfeng Lithium Group Co Ltd</t>
  </si>
  <si>
    <t>Advantest Corp</t>
  </si>
  <si>
    <t>Disco Corp</t>
  </si>
  <si>
    <t>Techonology</t>
  </si>
  <si>
    <t>WUXIAT80 TB Equity</t>
  </si>
  <si>
    <t>WuXi AppTec Co Ltd</t>
  </si>
  <si>
    <t>CRWD80 TB Equity</t>
  </si>
  <si>
    <t>Crowdstrike Holdings Inc</t>
  </si>
  <si>
    <t>GEELY80 TB Equity</t>
  </si>
  <si>
    <t>Geely Automobile Holdings Ltd</t>
  </si>
  <si>
    <t>JD80 TB Equity</t>
  </si>
  <si>
    <t>JD.com Inc</t>
  </si>
  <si>
    <t>TRIPCO80 TB Equity</t>
  </si>
  <si>
    <t>Trip.com Group Ltd</t>
  </si>
  <si>
    <t>MEITUA80 TB Equity</t>
  </si>
  <si>
    <t>Meituan</t>
  </si>
  <si>
    <t>PANW80 TB Equity</t>
  </si>
  <si>
    <t>Palo Alto Networks Inc</t>
  </si>
  <si>
    <t>MA80 TB Equity</t>
  </si>
  <si>
    <t>Mastercard Inc</t>
  </si>
  <si>
    <t>VISA80 TB Equity</t>
  </si>
  <si>
    <t>Visa Inc</t>
  </si>
  <si>
    <t>SINGTE80 TB Equity</t>
  </si>
  <si>
    <t>Singapore Telecommunications L</t>
  </si>
  <si>
    <t>NFLX80 TB Equity</t>
  </si>
  <si>
    <t>Netflix Inc</t>
  </si>
  <si>
    <t>002230</t>
  </si>
  <si>
    <t>Iflytek Co Ltd</t>
  </si>
  <si>
    <t>Sunny Optical Technology Group</t>
  </si>
  <si>
    <t>COIN</t>
  </si>
  <si>
    <t>Coinbase Global Inc</t>
  </si>
  <si>
    <t>SoftBank Group Corp</t>
  </si>
  <si>
    <t>Midea Group Co Ltd</t>
  </si>
  <si>
    <t>Precious Metal</t>
  </si>
  <si>
    <t>GLD US Equity</t>
  </si>
  <si>
    <t>SPDR Gold Shares</t>
  </si>
  <si>
    <t>JL Mag Rare-Earth Co Ltd</t>
  </si>
  <si>
    <t>MP</t>
  </si>
  <si>
    <t>MP Materials Corp</t>
  </si>
  <si>
    <t>China Northern Rare Earth Grou</t>
  </si>
  <si>
    <t>Energy</t>
  </si>
  <si>
    <t>PETROC80 TB Equity</t>
  </si>
  <si>
    <t>PetroChina Co Ltd</t>
  </si>
  <si>
    <t>NEE</t>
  </si>
  <si>
    <t>NextEra Energy Inc</t>
  </si>
  <si>
    <t>GEV</t>
  </si>
  <si>
    <t>GE Vernova Inc</t>
  </si>
  <si>
    <t>SLB US Equity</t>
  </si>
  <si>
    <t>SLB Ltd</t>
  </si>
  <si>
    <t>XOM US Equity</t>
  </si>
  <si>
    <t>Exxon Mobil Corp</t>
  </si>
  <si>
    <t>OXY US Equity</t>
  </si>
  <si>
    <t>Occidental Petroleum Corp</t>
  </si>
  <si>
    <t>CVX US Equity</t>
  </si>
  <si>
    <t>Chevron Corp</t>
  </si>
  <si>
    <t>002353 CH Equity</t>
  </si>
  <si>
    <t>Yantai Jereh Oilfield Services</t>
  </si>
  <si>
    <t>9104 JP Equity</t>
  </si>
  <si>
    <t>Mitsui OSK Lines Ltd</t>
  </si>
  <si>
    <t>DBO US Equity</t>
  </si>
  <si>
    <t>Invesco DB Oil Fund</t>
  </si>
  <si>
    <t>Consumer discretionary</t>
  </si>
  <si>
    <t>MNSO80 TB Equity</t>
  </si>
  <si>
    <t>MINISO Group Holding Ltd</t>
  </si>
  <si>
    <t>POPMAR80 TB Equity</t>
  </si>
  <si>
    <t>Pop Mart International Group L</t>
  </si>
  <si>
    <t>KUAISH80 TB Equity</t>
  </si>
  <si>
    <t>Kuaishou Technology</t>
  </si>
  <si>
    <t>GRAB80 TB Equity</t>
  </si>
  <si>
    <t>Grab Holdings Ltd</t>
  </si>
  <si>
    <t>ESTEE80 TB Equity</t>
  </si>
  <si>
    <t>Estee Lauder Cos Inc/The</t>
  </si>
  <si>
    <t>NIKE80 TB Equity</t>
  </si>
  <si>
    <t>NIKE Inc</t>
  </si>
  <si>
    <t>HERMES80 TB Equity</t>
  </si>
  <si>
    <t>Hermes International SCA</t>
  </si>
  <si>
    <t>LOREAL80 TB Equity</t>
  </si>
  <si>
    <t>L'Oreal SA</t>
  </si>
  <si>
    <t>FERARI80 TB Equity</t>
  </si>
  <si>
    <t>Ferrari NV</t>
  </si>
  <si>
    <t>UNIQLO80 TB Equity</t>
  </si>
  <si>
    <t>Fast Retailing Co Ltd</t>
  </si>
  <si>
    <t>SONY80 TB Equity</t>
  </si>
  <si>
    <t>Sony Group Corp</t>
  </si>
  <si>
    <t>NETEAS80 TB Equity</t>
  </si>
  <si>
    <t>NetEase Inc</t>
  </si>
  <si>
    <t>TOYOTA80 TB Equity</t>
  </si>
  <si>
    <t>Toyota Motor Corp</t>
  </si>
  <si>
    <t>SBUX80 TB Equity</t>
  </si>
  <si>
    <t>Starbucks Corp</t>
  </si>
  <si>
    <t>BKNG80 TB Equity</t>
  </si>
  <si>
    <t>Booking Holdings Inc</t>
  </si>
  <si>
    <t>Mixue Group</t>
  </si>
  <si>
    <t>Mao Geping Cosmetics Co LTD</t>
  </si>
  <si>
    <t>Consumer defensive</t>
  </si>
  <si>
    <t>LLY80 TB Equity</t>
  </si>
  <si>
    <t>Eli Lilly &amp; Co</t>
  </si>
  <si>
    <t>NONGFU80 TB Equity</t>
  </si>
  <si>
    <t>Nongfu Spring Co Ltd</t>
  </si>
  <si>
    <t>SANOFI80 TB Equity</t>
  </si>
  <si>
    <t>Sanofi SA</t>
  </si>
  <si>
    <t>NOVOB80 TB Equity</t>
  </si>
  <si>
    <t>Novo Nordisk A/S</t>
  </si>
  <si>
    <t>PINGAN80 TB Equity</t>
  </si>
  <si>
    <t>Ping An Insurance Group Co of</t>
  </si>
  <si>
    <t>PEP80 TB Equity</t>
  </si>
  <si>
    <t>PepsiCo Inc</t>
  </si>
  <si>
    <t>KO80 TB Equity</t>
  </si>
  <si>
    <t>Coca-Cola Co/The</t>
  </si>
  <si>
    <t>BRKB80 TB Equity</t>
  </si>
  <si>
    <t>Berkshire Hathaway Inc</t>
  </si>
  <si>
    <t>ABBV</t>
  </si>
  <si>
    <t>AbbVie Inc</t>
  </si>
  <si>
    <t>Kweichow Moutai Co Ltd</t>
  </si>
  <si>
    <t>Defense</t>
  </si>
  <si>
    <t>RKLB</t>
  </si>
  <si>
    <t>Rocket Lab Corp</t>
  </si>
  <si>
    <t>BA</t>
  </si>
  <si>
    <t>Boeing Co/The</t>
  </si>
  <si>
    <t>PLTR US Equity</t>
  </si>
  <si>
    <t>Palantir Technologies Inc</t>
  </si>
  <si>
    <t>HWM US Equity</t>
  </si>
  <si>
    <t>Howmet Aerospace Inc</t>
  </si>
  <si>
    <t>7011 JP Equity</t>
  </si>
  <si>
    <t>Mitsubishi Heavy Industries Lt</t>
  </si>
  <si>
    <t>7012 JP Equity</t>
  </si>
  <si>
    <t>Kawasaki Heavy Industries Ltd</t>
  </si>
  <si>
    <t>MOG/A US Equity</t>
  </si>
  <si>
    <t>Moog Inc</t>
  </si>
  <si>
    <t>VSEC US Equity</t>
  </si>
  <si>
    <t>VSE Corp</t>
  </si>
  <si>
    <t>HII US Equity</t>
  </si>
  <si>
    <t>Huntington Ingalls Industries</t>
  </si>
  <si>
    <t>HXL US Equity</t>
  </si>
  <si>
    <t>Hexcel Corp</t>
  </si>
  <si>
    <t>WWD US Equity</t>
  </si>
  <si>
    <t>Woodward Inc</t>
  </si>
  <si>
    <t>ETF</t>
  </si>
  <si>
    <t>NIKKEI80 TB Equity</t>
  </si>
  <si>
    <t>NEXT FUNDS Nikkei 225 Exchange</t>
  </si>
  <si>
    <t>SPCOM80 TB Equity</t>
  </si>
  <si>
    <t>State Street Communication Ser</t>
  </si>
  <si>
    <t>SPENGY80 TB Equity</t>
  </si>
  <si>
    <t>State Street Energy Select Sec</t>
  </si>
  <si>
    <t>SPTECH80 TB Equity</t>
  </si>
  <si>
    <t>State Street Technology Select</t>
  </si>
  <si>
    <t>SPBOND80 TB Equity</t>
  </si>
  <si>
    <t>State Street SPDR Portfolio Ag</t>
  </si>
  <si>
    <t>SPHLTH80 TB Equity</t>
  </si>
  <si>
    <t>State Street Health Care Selec</t>
  </si>
  <si>
    <t>SPFIN80 TB Equity</t>
  </si>
  <si>
    <t>State Street Financial Select</t>
  </si>
  <si>
    <t>VT US Equity</t>
  </si>
  <si>
    <t>Vanguard Total World Stock ETF</t>
  </si>
  <si>
    <t>EWY US Equity</t>
  </si>
  <si>
    <t>iShares MSCI South Korea ETF</t>
  </si>
  <si>
    <t>EWT US Equity</t>
  </si>
  <si>
    <t>iShares MSCI Taiwan ETF</t>
  </si>
  <si>
    <t>RSP US Equity</t>
  </si>
  <si>
    <t>Invesco S&amp;P 500 Equal Weight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</si>
</sst>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9"/>
      <color theme="0"/>
      <name val="Tahoma"/>
      <family val="2"/>
      <scheme val="minor"/>
    </font>
    <font>
      <b/>
      <sz val="11"/>
      <color theme="0"/>
      <name val="Tahoma"/>
      <family val="2"/>
      <scheme val="minor"/>
    </font>
    <font>
      <b/>
      <sz val="10"/>
      <color theme="0"/>
      <name val="Tahoma"/>
      <family val="2"/>
      <scheme val="major"/>
    </font>
    <font>
      <sz val="9"/>
      <color theme="0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0"/>
      <color theme="1"/>
      <name val="Arial"/>
      <family val="2"/>
    </font>
    <font>
      <sz val="11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FFFFFF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43" fontId="0" fillId="0" borderId="3" xfId="1" quotePrefix="1" applyFont="1" applyBorder="1"/>
    <xf numFmtId="43" fontId="0" fillId="0" borderId="3" xfId="1" applyFont="1" applyBorder="1"/>
    <xf numFmtId="0" fontId="0" fillId="4" borderId="0" xfId="0" applyFill="1"/>
    <xf numFmtId="0" fontId="0" fillId="0" borderId="0" xfId="0" quotePrefix="1"/>
    <xf numFmtId="0" fontId="0" fillId="5" borderId="0" xfId="0" applyFill="1"/>
    <xf numFmtId="0" fontId="0" fillId="0" borderId="0" xfId="0" applyFill="1"/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43" fontId="0" fillId="0" borderId="0" xfId="1" quotePrefix="1" applyFont="1" applyBorder="1"/>
    <xf numFmtId="0" fontId="0" fillId="4" borderId="3" xfId="0" applyFill="1" applyBorder="1"/>
    <xf numFmtId="43" fontId="0" fillId="0" borderId="0" xfId="1" applyFont="1" applyBorder="1"/>
    <xf numFmtId="0" fontId="7" fillId="0" borderId="0" xfId="0" applyFont="1" applyFill="1"/>
    <xf numFmtId="0" fontId="8" fillId="5" borderId="4" xfId="0" applyFont="1" applyFill="1" applyBorder="1" applyAlignment="1">
      <alignment wrapText="1"/>
    </xf>
    <xf numFmtId="0" fontId="9" fillId="5" borderId="5" xfId="0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BQL|18118400940885594266</stp>
        <tr r="G129" s="2"/>
      </tp>
      <tp t="s">
        <v>#N/A N/A</v>
        <stp/>
        <stp>BQL|17820772352979547276</stp>
        <tr r="G58" s="2"/>
      </tp>
      <tp t="s">
        <v>#N/A N/A</v>
        <stp/>
        <stp>BQL|18064579339781077170</stp>
        <tr r="C99" s="2"/>
      </tp>
      <tp t="s">
        <v>#N/A N/A</v>
        <stp/>
        <stp>BQL|12156631766049081621</stp>
        <tr r="H129" s="2"/>
      </tp>
      <tp t="s">
        <v>#N/A N/A</v>
        <stp/>
        <stp>BQL|10377807739212609435</stp>
        <tr r="H100" s="2"/>
      </tp>
      <tp t="s">
        <v>#N/A N/A</v>
        <stp/>
        <stp>BQL|17192999279032269012</stp>
        <tr r="C39" s="2"/>
      </tp>
      <tp t="s">
        <v>#N/A N/A</v>
        <stp/>
        <stp>BQL|12946960874843116415</stp>
        <tr r="C66" s="2"/>
      </tp>
      <tp t="s">
        <v>#N/A N/A</v>
        <stp/>
        <stp>BQL|14233455783543093169</stp>
        <tr r="J67" s="2"/>
      </tp>
      <tp t="s">
        <v>#N/A N/A</v>
        <stp/>
        <stp>BQL|12197375393713856179</stp>
        <tr r="E5" s="2"/>
      </tp>
      <tp t="s">
        <v>#N/A N/A</v>
        <stp/>
        <stp>BQL|10445936427375792720</stp>
        <tr r="C57" s="2"/>
      </tp>
      <tp t="s">
        <v>#N/A N/A</v>
        <stp/>
        <stp>BQL|14724319105418106691</stp>
        <tr r="H58" s="2"/>
      </tp>
      <tp t="s">
        <v>#N/A N/A</v>
        <stp/>
        <stp>BQL|10773948006215127491</stp>
        <tr r="K5" s="2"/>
      </tp>
      <tp t="s">
        <v>#N/A N/A</v>
        <stp/>
        <stp>BQL|15004643427904658239</stp>
        <tr r="F114" s="2"/>
      </tp>
      <tp t="s">
        <v>#N/A N/A</v>
        <stp/>
        <stp>BQL|15015106463515924389</stp>
        <tr r="F5" s="2"/>
      </tp>
      <tp t="s">
        <v>#N/A N/A</v>
        <stp/>
        <stp>BQL|13054092325762709701</stp>
        <tr r="C4" s="2"/>
      </tp>
      <tp t="s">
        <v>#N/A N/A</v>
        <stp/>
        <stp>BQL|15258217410237951241</stp>
        <tr r="I40" s="2"/>
      </tp>
      <tp t="s">
        <v>#N/A N/A</v>
        <stp/>
        <stp>BQL|15390770430810243037</stp>
        <tr r="C128" s="2"/>
      </tp>
      <tp t="s">
        <v>#N/A N/A</v>
        <stp/>
        <stp>BQL|10712127374094194383</stp>
        <tr r="J5" s="2"/>
      </tp>
    </main>
    <main first="bofaddin.rtdserver">
      <tp t="s">
        <v>#N/A N/A</v>
        <stp/>
        <stp>BQL.LIST|15270409268204881560</stp>
        <tr r="J58" s="2"/>
        <tr r="K58" s="2"/>
        <tr r="C57" s="2"/>
        <tr r="G58" s="2"/>
        <tr r="H58" s="2"/>
        <tr r="I58" s="2"/>
        <tr r="E58" s="2"/>
        <tr r="F58" s="2"/>
      </tp>
      <tp t="s">
        <v>#N/A N/A</v>
        <stp/>
        <stp>BQL.LIST|16550045923716312476</stp>
        <tr r="K40" s="2"/>
        <tr r="F40" s="2"/>
        <tr r="G40" s="2"/>
        <tr r="H40" s="2"/>
        <tr r="I40" s="2"/>
        <tr r="J40" s="2"/>
        <tr r="C39" s="2"/>
        <tr r="E40" s="2"/>
      </tp>
      <tp t="s">
        <v>#N/A N/A</v>
        <stp/>
        <stp>BQL.LIST|14382831588234983026</stp>
        <tr r="E100" s="2"/>
        <tr r="F100" s="2"/>
        <tr r="J100" s="2"/>
        <tr r="K100" s="2"/>
        <tr r="G100" s="2"/>
        <tr r="I100" s="2"/>
        <tr r="C99" s="2"/>
        <tr r="H100" s="2"/>
      </tp>
      <tp t="s">
        <v>#N/A N/A</v>
        <stp/>
        <stp>BQL.LIST|15152557569796599189</stp>
        <tr r="F5" s="2"/>
        <tr r="H5" s="2"/>
        <tr r="G5" s="2"/>
        <tr r="J5" s="2"/>
        <tr r="K5" s="2"/>
        <tr r="C4" s="2"/>
        <tr r="E5" s="2"/>
        <tr r="I5" s="2"/>
      </tp>
    </main>
    <main first="bofaddin.rtdserver">
      <tp t="s">
        <v>#N/A N/A</v>
        <stp/>
        <stp>BQL|7808580994071277689</stp>
        <tr r="K40" s="2"/>
      </tp>
      <tp t="s">
        <v>#N/A N/A</v>
        <stp/>
        <stp>BQL|1911618172088302419</stp>
        <tr r="K114" s="2"/>
      </tp>
      <tp t="s">
        <v>#N/A N/A</v>
        <stp/>
        <stp>BQL|1473014086575065053</stp>
        <tr r="E58" s="2"/>
      </tp>
      <tp t="s">
        <v>#N/A N/A</v>
        <stp/>
        <stp>BQL|2181829727836189277</stp>
        <tr r="J129" s="2"/>
      </tp>
      <tp t="s">
        <v>#N/A N/A</v>
        <stp/>
        <stp>BQL|2493156210328065746</stp>
        <tr r="J100" s="2"/>
      </tp>
      <tp t="s">
        <v>#N/A N/A</v>
        <stp/>
        <stp>BQL|6478890959330573508</stp>
        <tr r="G5" s="2"/>
      </tp>
      <tp t="s">
        <v>#N/A N/A</v>
        <stp/>
        <stp>BQL|2050808149592694373</stp>
        <tr r="J40" s="2"/>
      </tp>
      <tp t="s">
        <v>#N/A N/A</v>
        <stp/>
        <stp>BQL|1155041341818379213</stp>
        <tr r="H5" s="2"/>
      </tp>
      <tp t="s">
        <v>#N/A N/A</v>
        <stp/>
        <stp>BQL.LIST|3924049749304818630</stp>
        <tr r="C128" s="2"/>
        <tr r="E129" s="2"/>
        <tr r="F129" s="2"/>
        <tr r="H129" s="2"/>
        <tr r="I129" s="2"/>
        <tr r="G129" s="2"/>
        <tr r="J129" s="2"/>
        <tr r="K129" s="2"/>
      </tp>
      <tp t="s">
        <v>#N/A N/A</v>
        <stp/>
        <stp>BQL|4484403182594664455</stp>
        <tr r="I5" s="2"/>
      </tp>
      <tp t="s">
        <v>#N/A N/A</v>
        <stp/>
        <stp>BQL|2751343341789696592</stp>
        <tr r="I114" s="2"/>
      </tp>
      <tp t="s">
        <v>#N/A N/A</v>
        <stp/>
        <stp>BQL|3610802069657063367</stp>
        <tr r="G81" s="2"/>
      </tp>
      <tp t="s">
        <v>#N/A N/A</v>
        <stp/>
        <stp>BQL|8799733662724283421</stp>
        <tr r="H81" s="2"/>
      </tp>
      <tp t="s">
        <v>#N/A N/A</v>
        <stp/>
        <stp>BQL|5687874516952483716</stp>
        <tr r="I100" s="2"/>
      </tp>
      <tp t="s">
        <v>#N/A N/A</v>
        <stp/>
        <stp>BQL|1767952472820899566</stp>
        <tr r="K67" s="2"/>
      </tp>
      <tp t="s">
        <v>#N/A N/A</v>
        <stp/>
        <stp>BQL|4966707592711816117</stp>
        <tr r="H67" s="2"/>
      </tp>
      <tp t="s">
        <v>#N/A N/A</v>
        <stp/>
        <stp>BQL|7411987337167230156</stp>
        <tr r="F67" s="2"/>
      </tp>
      <tp t="s">
        <v>#N/A N/A</v>
        <stp/>
        <stp>BQL|7213202433364760910</stp>
        <tr r="F58" s="2"/>
      </tp>
      <tp t="s">
        <v>#N/A N/A</v>
        <stp/>
        <stp>BQL|2579471183835344079</stp>
        <tr r="F40" s="2"/>
      </tp>
      <tp t="s">
        <v>#N/A N/A</v>
        <stp/>
        <stp>BQL|3748350936309008109</stp>
        <tr r="E129" s="2"/>
      </tp>
      <tp t="s">
        <v>#N/A N/A</v>
        <stp/>
        <stp>BQL|8557097545470017808</stp>
        <tr r="I67" s="2"/>
      </tp>
      <tp t="s">
        <v>#N/A N/A</v>
        <stp/>
        <stp>BQL|7069655773951690291</stp>
        <tr r="H40" s="2"/>
      </tp>
      <tp t="s">
        <v>#N/A N/A</v>
        <stp/>
        <stp>BQL|7278443539402458427</stp>
        <tr r="C80" s="2"/>
      </tp>
      <tp t="s">
        <v>#N/A N/A</v>
        <stp/>
        <stp>BQL|3101765032448501924</stp>
        <tr r="G40" s="2"/>
      </tp>
      <tp t="s">
        <v>#N/A N/A</v>
        <stp/>
        <stp>BQL.LIST|2447128990750383672</stp>
        <tr r="J67" s="2"/>
        <tr r="F67" s="2"/>
        <tr r="C66" s="2"/>
        <tr r="G67" s="2"/>
        <tr r="K67" s="2"/>
        <tr r="E67" s="2"/>
        <tr r="H67" s="2"/>
        <tr r="I67" s="2"/>
      </tp>
      <tp t="s">
        <v>#N/A N/A</v>
        <stp/>
        <stp>BQL|5339342358994947099</stp>
        <tr r="G67" s="2"/>
      </tp>
      <tp t="s">
        <v>#N/A N/A</v>
        <stp/>
        <stp>BQL|5479705776517117585</stp>
        <tr r="C113" s="2"/>
      </tp>
      <tp t="s">
        <v>#N/A N/A</v>
        <stp/>
        <stp>BQL|7478609507197305102</stp>
        <tr r="J58" s="2"/>
      </tp>
      <tp t="s">
        <v>#N/A N/A</v>
        <stp/>
        <stp>BQL|3788045999982494894</stp>
        <tr r="F100" s="2"/>
      </tp>
      <tp t="s">
        <v>#N/A N/A</v>
        <stp/>
        <stp>BQL|1891598936887336008</stp>
        <tr r="E40" s="2"/>
      </tp>
      <tp t="s">
        <v>#N/A N/A</v>
        <stp/>
        <stp>BQL|9089237633938189000</stp>
        <tr r="E67" s="2"/>
      </tp>
      <tp t="s">
        <v>#N/A N/A</v>
        <stp/>
        <stp>BQL|5837821800435130940</stp>
        <tr r="G100" s="2"/>
      </tp>
      <tp t="s">
        <v>#N/A N/A</v>
        <stp/>
        <stp>BQL|9033254999151445249</stp>
        <tr r="F81" s="2"/>
      </tp>
      <tp t="s">
        <v>#N/A N/A</v>
        <stp/>
        <stp>BQL|7218784955300794405</stp>
        <tr r="E81" s="2"/>
      </tp>
      <tp t="s">
        <v>#N/A N/A</v>
        <stp/>
        <stp>BQL|6012666466481716650</stp>
        <tr r="E100" s="2"/>
      </tp>
      <tp t="s">
        <v>#N/A N/A</v>
        <stp/>
        <stp>BQL.LIST|830047679011990715</stp>
        <tr r="I114" s="2"/>
        <tr r="K114" s="2"/>
        <tr r="G114" s="2"/>
        <tr r="C113" s="2"/>
        <tr r="H114" s="2"/>
        <tr r="J114" s="2"/>
        <tr r="E114" s="2"/>
        <tr r="F114" s="2"/>
      </tp>
      <tp t="s">
        <v>#N/A N/A</v>
        <stp/>
        <stp>BQL|1109060434146955654</stp>
        <tr r="G114" s="2"/>
      </tp>
      <tp t="s">
        <v>#N/A N/A</v>
        <stp/>
        <stp>BQL|8667510561850523981</stp>
        <tr r="E114" s="2"/>
      </tp>
      <tp t="s">
        <v>#N/A N/A</v>
        <stp/>
        <stp>BQL|3643797152072707130</stp>
        <tr r="K100" s="2"/>
      </tp>
      <tp t="s">
        <v>#N/A N/A</v>
        <stp/>
        <stp>BQL|7644818314964474830</stp>
        <tr r="K81" s="2"/>
      </tp>
      <tp t="s">
        <v>#N/A N/A</v>
        <stp/>
        <stp>BQL.LIST|2895117019228456201</stp>
        <tr r="F81" s="2"/>
        <tr r="G81" s="2"/>
        <tr r="C80" s="2"/>
        <tr r="J81" s="2"/>
        <tr r="H81" s="2"/>
        <tr r="I81" s="2"/>
        <tr r="K81" s="2"/>
        <tr r="E81" s="2"/>
      </tp>
      <tp t="s">
        <v>#N/A N/A</v>
        <stp/>
        <stp>BQL|1497094323935795561</stp>
        <tr r="J114" s="2"/>
      </tp>
      <tp t="s">
        <v>#N/A N/A</v>
        <stp/>
        <stp>BQL|3514180333896201424</stp>
        <tr r="F129" s="2"/>
      </tp>
      <tp t="s">
        <v>#N/A N/A</v>
        <stp/>
        <stp>BQL|6986632681329646257</stp>
        <tr r="I129" s="2"/>
      </tp>
      <tp t="s">
        <v>#N/A N/A</v>
        <stp/>
        <stp>BQL|8681986867222888650</stp>
        <tr r="K58" s="2"/>
      </tp>
      <tp t="s">
        <v>#N/A N/A</v>
        <stp/>
        <stp>BQL|7688379842460849399</stp>
        <tr r="H114" s="2"/>
      </tp>
    </main>
    <main first="bofaddin.rtdserver">
      <tp t="s">
        <v>#N/A N/A</v>
        <stp/>
        <stp>BQL|966755754632601390</stp>
        <tr r="I58" s="2"/>
      </tp>
      <tp t="s">
        <v>#N/A N/A</v>
        <stp/>
        <stp>BQL|162372472016379019</stp>
        <tr r="J81" s="2"/>
      </tp>
      <tp t="s">
        <v>#N/A N/A</v>
        <stp/>
        <stp>BQL|483577125512684982</stp>
        <tr r="I81" s="2"/>
      </tp>
      <tp t="s">
        <v>#N/A N/A</v>
        <stp/>
        <stp>BQL|280032497382463165</stp>
        <tr r="K129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ock%20screening%20template_Optimized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t DR80"/>
      <sheetName val="Screening"/>
      <sheetName val="Watchlist-US"/>
      <sheetName val="Watchlist-CN"/>
      <sheetName val="Watchlist-JP"/>
      <sheetName val="Watchlist-ETF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9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45" sqref="B145"/>
    </sheetView>
  </sheetViews>
  <sheetFormatPr defaultRowHeight="13.8" x14ac:dyDescent="0.25"/>
  <cols>
    <col min="1" max="1" width="3.09765625" customWidth="1"/>
    <col min="2" max="2" width="26.69921875" customWidth="1"/>
    <col min="3" max="3" width="22.3984375" customWidth="1"/>
    <col min="4" max="4" width="52.3984375" style="10" customWidth="1"/>
    <col min="5" max="11" width="14.8984375" customWidth="1"/>
  </cols>
  <sheetData>
    <row r="1" spans="2:15" s="1" customFormat="1" ht="13.95" customHeight="1" x14ac:dyDescent="0.2">
      <c r="D1" s="2"/>
      <c r="E1" s="2"/>
      <c r="F1" s="2"/>
      <c r="G1" s="2"/>
      <c r="H1" s="2"/>
      <c r="I1" s="2"/>
      <c r="K1" s="2"/>
      <c r="L1" s="2"/>
      <c r="M1" s="2"/>
      <c r="N1" s="2"/>
      <c r="O1" s="2"/>
    </row>
    <row r="2" spans="2:15" s="1" customFormat="1" ht="11.4" customHeight="1" x14ac:dyDescent="0.25">
      <c r="B2" s="3"/>
      <c r="C2" s="3"/>
      <c r="D2" s="4"/>
      <c r="E2" s="5" t="s">
        <v>0</v>
      </c>
      <c r="F2" s="5" t="s">
        <v>1</v>
      </c>
      <c r="G2" s="5" t="s">
        <v>2</v>
      </c>
      <c r="H2" s="5" t="s">
        <v>3</v>
      </c>
      <c r="I2" s="5" t="s">
        <v>4</v>
      </c>
      <c r="J2" s="5" t="s">
        <v>5</v>
      </c>
      <c r="K2" s="5" t="s">
        <v>6</v>
      </c>
    </row>
    <row r="3" spans="2:15" s="1" customFormat="1" ht="11.4" customHeight="1" x14ac:dyDescent="0.25">
      <c r="B3" s="3"/>
      <c r="C3" s="3" t="s">
        <v>7</v>
      </c>
      <c r="D3" s="4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</row>
    <row r="4" spans="2:15" s="9" customFormat="1" x14ac:dyDescent="0.25">
      <c r="B4" s="7" t="s">
        <v>16</v>
      </c>
      <c r="C4" s="7" t="str">
        <f>_xll.BQL(_xll.BQL.LIST($B$5:$B$36), "name","showids=F","cols=1;rows=33")</f>
        <v>name</v>
      </c>
      <c r="D4" s="8"/>
    </row>
    <row r="5" spans="2:15" x14ac:dyDescent="0.25">
      <c r="B5" t="s">
        <v>17</v>
      </c>
      <c r="C5" t="s">
        <v>18</v>
      </c>
      <c r="E5" s="11">
        <f>_xll.BQL(_xll.BQL.LIST($B$5:$B$36), E$3, "showids=F", "showheaders=F","cols=1;rows=32")</f>
        <v>-13.492066519601002</v>
      </c>
      <c r="F5" s="11">
        <f>_xll.BQL(_xll.BQL.LIST($B$5:$B$36), F$3, "showids=F", "showheaders=F","cols=1;rows=32")</f>
        <v>-17.42424531416459</v>
      </c>
      <c r="G5" s="11">
        <f>_xll.BQL(_xll.BQL.LIST($B$5:$B$36), G$3, "showids=F", "showheaders=F","cols=1;rows=32")</f>
        <v>-15.503878926121914</v>
      </c>
      <c r="H5" s="11">
        <f>_xll.BQL(_xll.BQL.LIST($B$5:$B$36), H$3, "showids=F", "showheaders=F","cols=1;rows=32")</f>
        <v>-1.8018052384660019</v>
      </c>
      <c r="I5" s="11">
        <f>_xll.BQL(_xll.BQL.LIST($B$5:$B$36), I$3, "showids=F", "showheaders=F","cols=1;rows=32")</f>
        <v>-2.678574834551124</v>
      </c>
      <c r="J5" s="11">
        <f>_xll.BQL(_xll.BQL.LIST($B$5:$B$36), J$3, "showids=F", "showheaders=F","cols=1;rows=32")</f>
        <v>36.934668574500925</v>
      </c>
      <c r="K5" s="11">
        <f>_xll.BQL(_xll.BQL.LIST($B$5:$B$36), K$3, "showids=F", "showheaders=F","cols=1;rows=32")</f>
        <v>11.22448590337013</v>
      </c>
    </row>
    <row r="6" spans="2:15" x14ac:dyDescent="0.25">
      <c r="B6" t="s">
        <v>19</v>
      </c>
      <c r="C6" t="s">
        <v>20</v>
      </c>
      <c r="E6" s="12">
        <v>-18.415840073387223</v>
      </c>
      <c r="F6" s="12">
        <v>-14.876031481530053</v>
      </c>
      <c r="G6" s="12">
        <v>-18.415840073387223</v>
      </c>
      <c r="H6" s="12">
        <v>-17.599998474121094</v>
      </c>
      <c r="I6" s="12">
        <v>-2.8301868798597773</v>
      </c>
      <c r="J6" s="12">
        <v>29.559750826853627</v>
      </c>
      <c r="K6" s="12">
        <v>40.136057016800869</v>
      </c>
    </row>
    <row r="7" spans="2:15" x14ac:dyDescent="0.25">
      <c r="B7" t="s">
        <v>21</v>
      </c>
      <c r="C7" t="s">
        <v>22</v>
      </c>
      <c r="E7" s="12">
        <v>25.675678253173821</v>
      </c>
      <c r="F7" s="12">
        <v>14.814817169566219</v>
      </c>
      <c r="G7" s="12">
        <v>37.777780603479457</v>
      </c>
      <c r="H7" s="12">
        <v>35.766426142114796</v>
      </c>
      <c r="I7" s="12">
        <v>35.766426142114796</v>
      </c>
      <c r="J7" s="12">
        <v>35.766426142114796</v>
      </c>
      <c r="K7" s="12">
        <v>35.766426142114796</v>
      </c>
    </row>
    <row r="8" spans="2:15" x14ac:dyDescent="0.25">
      <c r="B8" t="s">
        <v>23</v>
      </c>
      <c r="C8" t="s">
        <v>24</v>
      </c>
      <c r="E8" s="12">
        <v>-5.3658555193645201</v>
      </c>
      <c r="F8" s="12">
        <v>-1.5228445759884561</v>
      </c>
      <c r="G8" s="12">
        <v>-1.5228445759884561</v>
      </c>
      <c r="H8" s="12">
        <v>10.857140677315847</v>
      </c>
      <c r="I8" s="12">
        <v>10.857140677315847</v>
      </c>
      <c r="J8" s="12">
        <v>10.857140677315847</v>
      </c>
      <c r="K8" s="12">
        <v>10.857140677315847</v>
      </c>
    </row>
    <row r="9" spans="2:15" x14ac:dyDescent="0.25">
      <c r="B9" t="s">
        <v>25</v>
      </c>
      <c r="C9" t="s">
        <v>26</v>
      </c>
      <c r="E9" s="12">
        <v>-11.818179217251872</v>
      </c>
      <c r="F9" s="12">
        <v>-4.9019579793892678</v>
      </c>
      <c r="G9" s="12">
        <v>-22.399997711181641</v>
      </c>
      <c r="H9" s="12">
        <v>2.1052661694978458</v>
      </c>
      <c r="I9" s="12">
        <v>52.755910017358978</v>
      </c>
      <c r="J9" s="12">
        <v>52.755910017358978</v>
      </c>
      <c r="K9" s="12">
        <v>52.755910017358978</v>
      </c>
    </row>
    <row r="10" spans="2:15" x14ac:dyDescent="0.25">
      <c r="B10" t="s">
        <v>27</v>
      </c>
      <c r="C10" t="s">
        <v>28</v>
      </c>
      <c r="E10" s="12">
        <v>-16.666663355297509</v>
      </c>
      <c r="F10" s="12">
        <v>-18.367343694985315</v>
      </c>
      <c r="G10" s="12">
        <v>-14.285710879734578</v>
      </c>
      <c r="H10" s="12">
        <v>15.384619969588057</v>
      </c>
      <c r="I10" s="12">
        <v>81.818189042987228</v>
      </c>
      <c r="J10" s="12">
        <v>81.818189042987228</v>
      </c>
      <c r="K10" s="12">
        <v>81.818189042987228</v>
      </c>
    </row>
    <row r="11" spans="2:15" x14ac:dyDescent="0.25">
      <c r="B11" t="s">
        <v>29</v>
      </c>
      <c r="C11" t="s">
        <v>30</v>
      </c>
      <c r="E11" s="12">
        <v>-17.500001192092896</v>
      </c>
      <c r="F11" s="12">
        <v>-6.38298007613378</v>
      </c>
      <c r="G11" s="12">
        <v>-20.958084974460256</v>
      </c>
      <c r="H11" s="12">
        <v>-42.857143682834909</v>
      </c>
      <c r="I11" s="12">
        <v>-40.271494075723368</v>
      </c>
      <c r="J11" s="12">
        <v>142.20183136266306</v>
      </c>
      <c r="K11" s="12">
        <v>109.52380649627203</v>
      </c>
    </row>
    <row r="12" spans="2:15" x14ac:dyDescent="0.25">
      <c r="B12" t="s">
        <v>31</v>
      </c>
      <c r="C12" t="s">
        <v>32</v>
      </c>
      <c r="E12" s="12">
        <v>2.5641040924267857</v>
      </c>
      <c r="F12" s="12">
        <v>5.2631594632801244</v>
      </c>
      <c r="G12" s="12">
        <v>1.4901161138336505E-6</v>
      </c>
      <c r="H12" s="12">
        <v>-13.043476965116421</v>
      </c>
      <c r="I12" s="12">
        <v>-74.683543926552886</v>
      </c>
      <c r="J12" s="12">
        <v>-59.183672861177094</v>
      </c>
      <c r="K12" s="12">
        <v>-71.014492321705475</v>
      </c>
    </row>
    <row r="13" spans="2:15" x14ac:dyDescent="0.25">
      <c r="B13" t="s">
        <v>33</v>
      </c>
      <c r="C13" t="s">
        <v>34</v>
      </c>
      <c r="E13" s="12">
        <v>-12.142855780465258</v>
      </c>
      <c r="F13" s="12">
        <v>-7.5187955583844914</v>
      </c>
      <c r="G13" s="12">
        <v>-10.869563835254608</v>
      </c>
      <c r="H13" s="12">
        <v>13.88889065495243</v>
      </c>
      <c r="I13" s="12">
        <v>34.426231592730737</v>
      </c>
      <c r="J13" s="12">
        <v>34.426231592730737</v>
      </c>
      <c r="K13" s="12">
        <v>34.426231592730737</v>
      </c>
    </row>
    <row r="14" spans="2:15" x14ac:dyDescent="0.25">
      <c r="B14" t="s">
        <v>35</v>
      </c>
      <c r="C14" t="s">
        <v>36</v>
      </c>
      <c r="E14" s="12">
        <v>-2.9585821388741134</v>
      </c>
      <c r="F14" s="12">
        <v>1.2345655464831737</v>
      </c>
      <c r="G14" s="12">
        <v>-9.3922673009377231</v>
      </c>
      <c r="H14" s="12">
        <v>9.3333307902018223</v>
      </c>
      <c r="I14" s="12">
        <v>24.242421352502078</v>
      </c>
      <c r="J14" s="12">
        <v>24.242421352502078</v>
      </c>
      <c r="K14" s="12">
        <v>24.242421352502078</v>
      </c>
    </row>
    <row r="15" spans="2:15" x14ac:dyDescent="0.25">
      <c r="B15" t="s">
        <v>37</v>
      </c>
      <c r="C15" t="s">
        <v>38</v>
      </c>
      <c r="E15" s="12">
        <v>-10.614523807717436</v>
      </c>
      <c r="F15" s="12">
        <v>-14.893615753092659</v>
      </c>
      <c r="G15" s="12">
        <v>-15.343914082441376</v>
      </c>
      <c r="H15" s="12">
        <v>-12.568304708095198</v>
      </c>
      <c r="I15" s="12">
        <v>5.2631594632801244</v>
      </c>
      <c r="J15" s="12">
        <v>5.2631594632801244</v>
      </c>
      <c r="K15" s="12">
        <v>5.2631594632801244</v>
      </c>
    </row>
    <row r="16" spans="2:15" x14ac:dyDescent="0.25">
      <c r="B16" t="s">
        <v>39</v>
      </c>
      <c r="C16" t="s">
        <v>40</v>
      </c>
      <c r="E16" s="12">
        <v>-17.192986136988591</v>
      </c>
      <c r="F16" s="12">
        <v>-20.672272433753776</v>
      </c>
      <c r="G16" s="12">
        <v>-1.2552345148190347</v>
      </c>
      <c r="H16" s="12">
        <v>24.867719317239434</v>
      </c>
      <c r="I16" s="12">
        <v>28.260863863903541</v>
      </c>
      <c r="J16" s="12">
        <v>-24.480003356933594</v>
      </c>
      <c r="K16" s="12">
        <v>-24.480003356933594</v>
      </c>
    </row>
    <row r="17" spans="1:11" x14ac:dyDescent="0.25">
      <c r="B17" t="s">
        <v>41</v>
      </c>
      <c r="C17" t="s">
        <v>42</v>
      </c>
      <c r="E17" s="12">
        <v>-18.791943748525327</v>
      </c>
      <c r="F17" s="12">
        <v>-11.029408959781421</v>
      </c>
      <c r="G17" s="12">
        <v>-22.929933875989001</v>
      </c>
      <c r="H17" s="12">
        <v>-26.219509869087027</v>
      </c>
      <c r="I17" s="12">
        <v>-14.184394457661512</v>
      </c>
      <c r="J17" s="12">
        <v>-14.184394457661512</v>
      </c>
      <c r="K17" s="12">
        <v>-14.184394457661512</v>
      </c>
    </row>
    <row r="18" spans="1:11" x14ac:dyDescent="0.25">
      <c r="B18" t="s">
        <v>43</v>
      </c>
      <c r="C18" t="s">
        <v>44</v>
      </c>
      <c r="E18" s="12">
        <v>-9.1666666666666661</v>
      </c>
      <c r="F18" s="12">
        <v>-7.6271186440677967</v>
      </c>
      <c r="G18" s="12">
        <v>-5.2173913043478262</v>
      </c>
      <c r="H18" s="12">
        <v>-1.8018018018018018</v>
      </c>
      <c r="I18" s="12">
        <v>45.721925133689844</v>
      </c>
      <c r="J18" s="12">
        <v>45.721925133689844</v>
      </c>
      <c r="K18" s="12">
        <v>45.721925133689844</v>
      </c>
    </row>
    <row r="19" spans="1:11" x14ac:dyDescent="0.25">
      <c r="B19" t="s">
        <v>45</v>
      </c>
      <c r="C19" t="s">
        <v>46</v>
      </c>
      <c r="E19" s="12">
        <v>-4.0485876291869696</v>
      </c>
      <c r="F19" s="12">
        <v>-9.7142900739397327</v>
      </c>
      <c r="G19" s="12">
        <v>-6.1386183936997183</v>
      </c>
      <c r="H19" s="12">
        <v>38.596484535618835</v>
      </c>
      <c r="I19" s="12">
        <v>74.264697467579538</v>
      </c>
      <c r="J19" s="12">
        <v>74.264697467579538</v>
      </c>
      <c r="K19" s="12">
        <v>74.264697467579538</v>
      </c>
    </row>
    <row r="20" spans="1:11" x14ac:dyDescent="0.25">
      <c r="B20" t="s">
        <v>47</v>
      </c>
      <c r="C20" t="s">
        <v>48</v>
      </c>
      <c r="E20" s="12">
        <v>-3.1249992549419425</v>
      </c>
      <c r="F20" s="12">
        <v>-10.791366220378183</v>
      </c>
      <c r="G20" s="12">
        <v>-3.8759682529656487</v>
      </c>
      <c r="H20" s="12">
        <v>-16.778522849883011</v>
      </c>
      <c r="I20" s="12">
        <v>1.6393450439953434</v>
      </c>
      <c r="J20" s="12">
        <v>1.6393450439953434</v>
      </c>
      <c r="K20" s="12">
        <v>1.6393450439953434</v>
      </c>
    </row>
    <row r="21" spans="1:11" x14ac:dyDescent="0.25">
      <c r="A21" t="s">
        <v>49</v>
      </c>
      <c r="B21" s="13" t="str">
        <f>CONCATENATE(A21," US Equity")</f>
        <v>MU US Equity</v>
      </c>
      <c r="C21" t="s">
        <v>50</v>
      </c>
      <c r="D21" s="10" t="s">
        <v>51</v>
      </c>
      <c r="E21" s="12">
        <v>30.736795383932531</v>
      </c>
      <c r="F21" s="12">
        <v>-5.808588396528096</v>
      </c>
      <c r="G21" s="12">
        <v>72.186730134869919</v>
      </c>
      <c r="H21" s="12">
        <v>248.05030384875084</v>
      </c>
      <c r="I21" s="12">
        <v>355.45615197702671</v>
      </c>
      <c r="J21" s="12">
        <v>630.76377813219915</v>
      </c>
      <c r="K21" s="12">
        <v>352.70611483148531</v>
      </c>
    </row>
    <row r="22" spans="1:11" x14ac:dyDescent="0.25">
      <c r="A22" t="s">
        <v>52</v>
      </c>
      <c r="B22" s="13" t="str">
        <f>CONCATENATE(A22," US Equity")</f>
        <v>HOOD US Equity</v>
      </c>
      <c r="C22" t="s">
        <v>53</v>
      </c>
      <c r="D22" s="10" t="s">
        <v>51</v>
      </c>
      <c r="E22" s="12">
        <v>-34.163701067615662</v>
      </c>
      <c r="F22" s="12">
        <v>-15.637860082304531</v>
      </c>
      <c r="G22" s="12">
        <v>-39.777689559348957</v>
      </c>
      <c r="H22" s="12">
        <v>-24.781832606108694</v>
      </c>
      <c r="I22" s="12">
        <v>61.76156963105138</v>
      </c>
      <c r="J22" s="12">
        <v>688.46153846153845</v>
      </c>
      <c r="K22" s="12">
        <v>99.605263157894726</v>
      </c>
    </row>
    <row r="23" spans="1:11" x14ac:dyDescent="0.25">
      <c r="A23">
        <v>8035</v>
      </c>
      <c r="B23" s="13" t="str">
        <f>CONCATENATE(A23," JP Equity")</f>
        <v>8035 JP Equity</v>
      </c>
      <c r="C23" t="s">
        <v>54</v>
      </c>
      <c r="D23" s="10" t="s">
        <v>51</v>
      </c>
      <c r="E23" s="12">
        <v>17.871649065800163</v>
      </c>
      <c r="F23" s="12">
        <v>9.7579425113464442</v>
      </c>
      <c r="G23" s="12">
        <v>39.073482428115014</v>
      </c>
      <c r="H23" s="12">
        <v>114.06442094910254</v>
      </c>
      <c r="I23" s="12">
        <v>94.504021447721172</v>
      </c>
      <c r="J23" s="12">
        <v>178.85970531710441</v>
      </c>
      <c r="K23" s="12">
        <v>195.92114208021755</v>
      </c>
    </row>
    <row r="24" spans="1:11" x14ac:dyDescent="0.25">
      <c r="A24" s="14" t="s">
        <v>55</v>
      </c>
      <c r="B24" s="13" t="str">
        <f>CONCATENATE(A24," CH Equity")</f>
        <v>002371 CH Equity</v>
      </c>
      <c r="C24" t="s">
        <v>56</v>
      </c>
      <c r="D24" s="10" t="s">
        <v>51</v>
      </c>
      <c r="E24" s="12">
        <v>-1.8355803264485979</v>
      </c>
      <c r="F24" s="12">
        <v>0.90331819703415173</v>
      </c>
      <c r="G24" s="12">
        <v>7.5055363259252159</v>
      </c>
      <c r="H24" s="12">
        <v>23.061474675165456</v>
      </c>
      <c r="I24" s="12">
        <v>44.449034874809421</v>
      </c>
      <c r="J24" s="12">
        <v>167.92926438879755</v>
      </c>
      <c r="K24" s="12">
        <v>214.5722778992035</v>
      </c>
    </row>
    <row r="25" spans="1:11" x14ac:dyDescent="0.25">
      <c r="A25">
        <v>688256</v>
      </c>
      <c r="B25" s="13" t="str">
        <f>CONCATENATE(A25," CH Equity")</f>
        <v>688256 CH Equity</v>
      </c>
      <c r="C25" t="s">
        <v>57</v>
      </c>
      <c r="D25" s="10" t="s">
        <v>51</v>
      </c>
      <c r="E25" s="12">
        <v>-14.251796804743705</v>
      </c>
      <c r="F25" s="12">
        <v>-4.0338144594152574</v>
      </c>
      <c r="G25" s="12">
        <v>-10.297801328030339</v>
      </c>
      <c r="H25" s="12">
        <v>-19.466214566617399</v>
      </c>
      <c r="I25" s="12">
        <v>71.973974405768885</v>
      </c>
      <c r="J25" s="12">
        <v>1202.6229775017077</v>
      </c>
      <c r="K25" s="12">
        <v>672.25607387201148</v>
      </c>
    </row>
    <row r="26" spans="1:11" x14ac:dyDescent="0.25">
      <c r="A26">
        <v>600900</v>
      </c>
      <c r="B26" s="13" t="str">
        <f>CONCATENATE(A26," CH Equity")</f>
        <v>600900 CH Equity</v>
      </c>
      <c r="C26" t="s">
        <v>58</v>
      </c>
      <c r="D26" s="10" t="s">
        <v>51</v>
      </c>
      <c r="E26" s="12">
        <v>-2.6026404148672371</v>
      </c>
      <c r="F26" s="12">
        <v>1.6449873558692356</v>
      </c>
      <c r="G26" s="12">
        <v>-5.9801850855477099</v>
      </c>
      <c r="H26" s="12">
        <v>-5.8135423792122731</v>
      </c>
      <c r="I26" s="12">
        <v>-1.9195286274484351</v>
      </c>
      <c r="J26" s="12">
        <v>25.094160521771286</v>
      </c>
      <c r="K26" s="12">
        <v>34.53164402442642</v>
      </c>
    </row>
    <row r="27" spans="1:11" x14ac:dyDescent="0.25">
      <c r="A27">
        <v>6809</v>
      </c>
      <c r="B27" s="13" t="str">
        <f>CONCATENATE(A27," HK Equity")</f>
        <v>6809 HK Equity</v>
      </c>
      <c r="C27" t="s">
        <v>59</v>
      </c>
      <c r="D27" s="10" t="s">
        <v>60</v>
      </c>
      <c r="E27" s="12">
        <v>65.590794274487791</v>
      </c>
      <c r="F27" s="12">
        <v>65.590794274487791</v>
      </c>
      <c r="G27" s="12">
        <v>65.590794274487791</v>
      </c>
      <c r="H27" s="12">
        <v>65.590794274487791</v>
      </c>
      <c r="I27" s="12">
        <v>65.590794274487791</v>
      </c>
      <c r="J27" s="12">
        <v>65.590794274487791</v>
      </c>
      <c r="K27" s="12">
        <v>65.590794274487791</v>
      </c>
    </row>
    <row r="28" spans="1:11" x14ac:dyDescent="0.25">
      <c r="A28" t="s">
        <v>61</v>
      </c>
      <c r="B28" s="13" t="str">
        <f>CONCATENATE(A28," US Equity")</f>
        <v>ANET US Equity</v>
      </c>
      <c r="C28" t="s">
        <v>62</v>
      </c>
      <c r="D28" s="10" t="s">
        <v>60</v>
      </c>
      <c r="E28" s="12">
        <v>-7.4850299401193351E-2</v>
      </c>
      <c r="F28" s="12">
        <v>-3.5195490351954932</v>
      </c>
      <c r="G28" s="12">
        <v>4.9363307656028939</v>
      </c>
      <c r="H28" s="12">
        <v>-1.7443144181938652</v>
      </c>
      <c r="I28" s="12">
        <v>55.214509940704559</v>
      </c>
      <c r="J28" s="12">
        <v>290.97964562893537</v>
      </c>
      <c r="K28" s="12">
        <v>651.31902919451284</v>
      </c>
    </row>
    <row r="29" spans="1:11" x14ac:dyDescent="0.25">
      <c r="A29" t="s">
        <v>63</v>
      </c>
      <c r="B29" s="13" t="str">
        <f>CONCATENATE(A29," US Equity")</f>
        <v>SNDK US Equity</v>
      </c>
      <c r="C29" t="s">
        <v>64</v>
      </c>
      <c r="D29" s="10" t="s">
        <v>60</v>
      </c>
      <c r="E29" s="12">
        <v>130.83854090975149</v>
      </c>
      <c r="F29" s="12">
        <v>-4.4916120497865428</v>
      </c>
      <c r="G29" s="12">
        <v>209.40345751156562</v>
      </c>
      <c r="H29" s="12">
        <v>1144.0963383591147</v>
      </c>
      <c r="I29" s="12">
        <v>1162.8900814947326</v>
      </c>
      <c r="J29" s="12">
        <v>1664.8888888888891</v>
      </c>
      <c r="K29" s="12">
        <v>1664.8888888888891</v>
      </c>
    </row>
    <row r="30" spans="1:11" s="16" customFormat="1" x14ac:dyDescent="0.25">
      <c r="A30" t="s">
        <v>65</v>
      </c>
      <c r="B30" s="15" t="str">
        <f>CONCATENATE(A30," US Equity")</f>
        <v>LRCX US Equity</v>
      </c>
      <c r="C30" s="16" t="s">
        <v>66</v>
      </c>
      <c r="D30" s="17" t="s">
        <v>67</v>
      </c>
      <c r="E30" s="12">
        <v>26.386036960985614</v>
      </c>
      <c r="F30" s="12">
        <v>-1.5200000000000058</v>
      </c>
      <c r="G30" s="12">
        <v>47.853846640116309</v>
      </c>
      <c r="H30" s="12">
        <v>141.04916005359166</v>
      </c>
      <c r="I30" s="12">
        <v>208.64344154130373</v>
      </c>
      <c r="J30" s="12">
        <v>377.34601412302538</v>
      </c>
      <c r="K30" s="12">
        <v>307.92870099065158</v>
      </c>
    </row>
    <row r="31" spans="1:11" s="16" customFormat="1" x14ac:dyDescent="0.25">
      <c r="A31">
        <v>300476</v>
      </c>
      <c r="B31" s="15" t="str">
        <f>CONCATENATE(A31," CH Equity")</f>
        <v>300476 CH Equity</v>
      </c>
      <c r="C31" s="16" t="s">
        <v>68</v>
      </c>
      <c r="D31" s="17" t="s">
        <v>67</v>
      </c>
      <c r="E31" s="12">
        <v>-2.1612942603326615</v>
      </c>
      <c r="F31" s="12">
        <v>13.298463874848249</v>
      </c>
      <c r="G31" s="12">
        <v>11.359960270586258</v>
      </c>
      <c r="H31" s="12">
        <v>12.125688648047598</v>
      </c>
      <c r="I31" s="12">
        <v>470.11275900933975</v>
      </c>
      <c r="J31" s="12">
        <v>1613.5592530676201</v>
      </c>
      <c r="K31" s="12">
        <v>1195.0469162808229</v>
      </c>
    </row>
    <row r="32" spans="1:11" s="16" customFormat="1" x14ac:dyDescent="0.25">
      <c r="A32">
        <v>603986</v>
      </c>
      <c r="B32" s="15" t="str">
        <f>CONCATENATE(A32," CH Equity")</f>
        <v>603986 CH Equity</v>
      </c>
      <c r="C32" s="16" t="s">
        <v>69</v>
      </c>
      <c r="D32" s="17" t="s">
        <v>67</v>
      </c>
      <c r="E32" s="12">
        <v>24.384756405500834</v>
      </c>
      <c r="F32" s="12">
        <v>3.444014925185924</v>
      </c>
      <c r="G32" s="12">
        <v>39.263655057712292</v>
      </c>
      <c r="H32" s="12">
        <v>66.562496532093391</v>
      </c>
      <c r="I32" s="12">
        <v>126.23089511999102</v>
      </c>
      <c r="J32" s="12">
        <v>178.68618109752293</v>
      </c>
      <c r="K32" s="12">
        <v>100.53258646295227</v>
      </c>
    </row>
    <row r="33" spans="1:11" s="16" customFormat="1" x14ac:dyDescent="0.25">
      <c r="A33">
        <v>688041</v>
      </c>
      <c r="B33" s="15" t="str">
        <f>CONCATENATE(A33," CH Equity")</f>
        <v>688041 CH Equity</v>
      </c>
      <c r="C33" s="16" t="s">
        <v>70</v>
      </c>
      <c r="D33" s="17" t="s">
        <v>67</v>
      </c>
      <c r="E33" s="12">
        <v>14.579651419040376</v>
      </c>
      <c r="F33" s="12">
        <v>2.6357559282723892</v>
      </c>
      <c r="G33" s="12">
        <v>21.812970273323565</v>
      </c>
      <c r="H33" s="12">
        <v>28.262921495384251</v>
      </c>
      <c r="I33" s="12">
        <v>71.569609890035935</v>
      </c>
      <c r="J33" s="12">
        <v>388.30852763913117</v>
      </c>
      <c r="K33" s="12">
        <v>619.30558946397571</v>
      </c>
    </row>
    <row r="34" spans="1:11" s="16" customFormat="1" x14ac:dyDescent="0.25">
      <c r="A34">
        <v>1772</v>
      </c>
      <c r="B34" s="15" t="str">
        <f>CONCATENATE(A34," HK Equity")</f>
        <v>1772 HK Equity</v>
      </c>
      <c r="C34" s="16" t="s">
        <v>71</v>
      </c>
      <c r="D34" s="17" t="s">
        <v>67</v>
      </c>
      <c r="E34" s="12">
        <v>22.64325041427189</v>
      </c>
      <c r="F34" s="12">
        <v>12.457624532408634</v>
      </c>
      <c r="G34" s="12">
        <v>38.517742117163039</v>
      </c>
      <c r="H34" s="12">
        <v>117.39842226120936</v>
      </c>
      <c r="I34" s="12">
        <v>183.54700202615854</v>
      </c>
      <c r="J34" s="12">
        <v>18.588022295122592</v>
      </c>
      <c r="K34" s="12">
        <v>-11.701522943184868</v>
      </c>
    </row>
    <row r="35" spans="1:11" s="16" customFormat="1" x14ac:dyDescent="0.25">
      <c r="A35">
        <v>6857</v>
      </c>
      <c r="B35" s="15" t="str">
        <f>CONCATENATE(A35," JP Equity")</f>
        <v>6857 JP Equity</v>
      </c>
      <c r="C35" s="16" t="s">
        <v>72</v>
      </c>
      <c r="D35" s="17" t="s">
        <v>67</v>
      </c>
      <c r="E35" s="12">
        <v>21.841794569067297</v>
      </c>
      <c r="F35" s="12">
        <v>6.1509977370911333</v>
      </c>
      <c r="G35" s="12">
        <v>30.237253912165574</v>
      </c>
      <c r="H35" s="12">
        <v>141.9127988748242</v>
      </c>
      <c r="I35" s="12">
        <v>217.42125984251967</v>
      </c>
      <c r="J35" s="12">
        <v>842.46575342465758</v>
      </c>
      <c r="K35" s="12">
        <v>1041.5929203539824</v>
      </c>
    </row>
    <row r="36" spans="1:11" s="16" customFormat="1" x14ac:dyDescent="0.25">
      <c r="A36">
        <v>6146</v>
      </c>
      <c r="B36" s="15" t="str">
        <f>CONCATENATE(A36," JP Equity")</f>
        <v>6146 JP Equity</v>
      </c>
      <c r="C36" s="16" t="s">
        <v>73</v>
      </c>
      <c r="D36" s="17" t="s">
        <v>67</v>
      </c>
      <c r="E36" s="12">
        <v>46.594911937377695</v>
      </c>
      <c r="F36" s="12">
        <v>20.240770465489565</v>
      </c>
      <c r="G36" s="12">
        <v>76.217360621030352</v>
      </c>
      <c r="H36" s="12">
        <v>97.339304531085361</v>
      </c>
      <c r="I36" s="12">
        <v>95.078125</v>
      </c>
      <c r="J36" s="12">
        <v>435.07142857142861</v>
      </c>
      <c r="K36" s="12">
        <v>555.18950437317778</v>
      </c>
    </row>
    <row r="37" spans="1:11" s="16" customFormat="1" x14ac:dyDescent="0.25">
      <c r="D37" s="17"/>
    </row>
    <row r="39" spans="1:11" s="9" customFormat="1" x14ac:dyDescent="0.25">
      <c r="B39" s="7" t="s">
        <v>74</v>
      </c>
      <c r="C39" s="7" t="str">
        <f>_xll.BQL(_xll.BQL.LIST($B$40:$B$55), "name","showids=F","cols=1;rows=17")</f>
        <v>name</v>
      </c>
      <c r="D39" s="18"/>
    </row>
    <row r="40" spans="1:11" x14ac:dyDescent="0.25">
      <c r="B40" t="s">
        <v>75</v>
      </c>
      <c r="C40" t="s">
        <v>76</v>
      </c>
      <c r="E40" s="11">
        <f>_xll.BQL(_xll.BQL.LIST($B$40:$B$55), E$3, "showids=F", "showheaders=F","cols=1;rows=16")</f>
        <v>9.9999972752162343</v>
      </c>
      <c r="F40" s="11">
        <f>_xll.BQL(_xll.BQL.LIST($B$40:$B$55), F$3, "showids=F", "showheaders=F","cols=1;rows=16")</f>
        <v>4.0540514765558919</v>
      </c>
      <c r="G40" s="11">
        <f>_xll.BQL(_xll.BQL.LIST($B$40:$B$55), G$3, "showids=F", "showheaders=F","cols=1;rows=16")</f>
        <v>13.235291312722596</v>
      </c>
      <c r="H40" s="11">
        <f>_xll.BQL(_xll.BQL.LIST($B$40:$B$55), H$3, "showids=F", "showheaders=F","cols=1;rows=16")</f>
        <v>8.4507015389455926</v>
      </c>
      <c r="I40" s="11">
        <f>_xll.BQL(_xll.BQL.LIST($B$40:$B$55), I$3, "showids=F", "showheaders=F","cols=1;rows=16")</f>
        <v>8.4507015389455926</v>
      </c>
      <c r="J40" s="11">
        <f>_xll.BQL(_xll.BQL.LIST($B$40:$B$55), J$3, "showids=F", "showheaders=F","cols=1;rows=16")</f>
        <v>8.4507015389455926</v>
      </c>
      <c r="K40" s="11">
        <f>_xll.BQL(_xll.BQL.LIST($B$40:$B$55), K$3, "showids=F", "showheaders=F","cols=1;rows=16")</f>
        <v>8.4507015389455926</v>
      </c>
    </row>
    <row r="41" spans="1:11" x14ac:dyDescent="0.25">
      <c r="B41" t="s">
        <v>77</v>
      </c>
      <c r="C41" t="s">
        <v>78</v>
      </c>
      <c r="E41" s="12">
        <v>-17.605635146020159</v>
      </c>
      <c r="F41" s="12">
        <v>-15.217392686484521</v>
      </c>
      <c r="G41" s="12">
        <v>-28.658537748383306</v>
      </c>
      <c r="H41" s="12">
        <v>-13.970589637756344</v>
      </c>
      <c r="I41" s="12">
        <v>-13.970589637756344</v>
      </c>
      <c r="J41" s="12">
        <v>-13.970589637756344</v>
      </c>
      <c r="K41" s="12">
        <v>-13.970589637756344</v>
      </c>
    </row>
    <row r="42" spans="1:11" x14ac:dyDescent="0.25">
      <c r="B42" t="s">
        <v>79</v>
      </c>
      <c r="C42" t="s">
        <v>80</v>
      </c>
      <c r="E42" s="12">
        <v>-11.888109220491428</v>
      </c>
      <c r="F42" s="12">
        <v>-1.5624970197677668</v>
      </c>
      <c r="G42" s="12">
        <v>-9.9999972752162396</v>
      </c>
      <c r="H42" s="12">
        <v>-18.709674958259829</v>
      </c>
      <c r="I42" s="12">
        <v>-18.709674958259829</v>
      </c>
      <c r="J42" s="12">
        <v>-18.709674958259829</v>
      </c>
      <c r="K42" s="12">
        <v>-18.709674958259829</v>
      </c>
    </row>
    <row r="43" spans="1:11" x14ac:dyDescent="0.25">
      <c r="B43" t="s">
        <v>81</v>
      </c>
      <c r="C43" t="s">
        <v>82</v>
      </c>
      <c r="E43" s="12">
        <v>-11.353713039748015</v>
      </c>
      <c r="F43" s="12">
        <v>-9.3750012772423972</v>
      </c>
      <c r="G43" s="12">
        <v>-14.705883555051654</v>
      </c>
      <c r="H43" s="12">
        <v>-18.80000114440918</v>
      </c>
      <c r="I43" s="12">
        <v>-43.216784017069358</v>
      </c>
      <c r="J43" s="12">
        <v>-43.216784017069358</v>
      </c>
      <c r="K43" s="12">
        <v>-43.216784017069358</v>
      </c>
    </row>
    <row r="44" spans="1:11" x14ac:dyDescent="0.25">
      <c r="B44" t="s">
        <v>83</v>
      </c>
      <c r="C44" t="s">
        <v>84</v>
      </c>
      <c r="E44" s="12">
        <v>-31.779660410800219</v>
      </c>
      <c r="F44" s="12">
        <v>-17.010308540973465</v>
      </c>
      <c r="G44" s="12">
        <v>-28.124999361378812</v>
      </c>
      <c r="H44" s="12">
        <v>-32.352940575415346</v>
      </c>
      <c r="I44" s="12">
        <v>-26.146788334627768</v>
      </c>
      <c r="J44" s="12">
        <v>-26.146788334627768</v>
      </c>
      <c r="K44" s="12">
        <v>-26.146788334627768</v>
      </c>
    </row>
    <row r="45" spans="1:11" x14ac:dyDescent="0.25">
      <c r="B45" t="s">
        <v>85</v>
      </c>
      <c r="C45" t="s">
        <v>86</v>
      </c>
      <c r="E45" s="12">
        <v>-26.540286620081314</v>
      </c>
      <c r="F45" s="12">
        <v>-18.848170035796635</v>
      </c>
      <c r="G45" s="12">
        <v>-22.885574511627642</v>
      </c>
      <c r="H45" s="12">
        <v>-26.190478461129331</v>
      </c>
      <c r="I45" s="12">
        <v>-59.740260978797807</v>
      </c>
      <c r="J45" s="12">
        <v>-59.740260978797807</v>
      </c>
      <c r="K45" s="12">
        <v>-59.740260978797807</v>
      </c>
    </row>
    <row r="46" spans="1:11" x14ac:dyDescent="0.25">
      <c r="B46" t="s">
        <v>87</v>
      </c>
      <c r="C46" t="s">
        <v>88</v>
      </c>
      <c r="E46" s="12">
        <v>-20.000001658564027</v>
      </c>
      <c r="F46" s="12">
        <v>-16.363638097589668</v>
      </c>
      <c r="G46" s="12">
        <v>-24.590165497826742</v>
      </c>
      <c r="H46" s="12">
        <v>-27.559056619959549</v>
      </c>
      <c r="I46" s="12">
        <v>-27.559056619959549</v>
      </c>
      <c r="J46" s="12">
        <v>-27.559056619959549</v>
      </c>
      <c r="K46" s="12">
        <v>-27.559056619959549</v>
      </c>
    </row>
    <row r="47" spans="1:11" x14ac:dyDescent="0.25">
      <c r="B47" t="s">
        <v>89</v>
      </c>
      <c r="C47" t="s">
        <v>90</v>
      </c>
      <c r="E47" s="12">
        <v>-9.6045184270136783</v>
      </c>
      <c r="F47" s="12">
        <v>-5.8823515387142384</v>
      </c>
      <c r="G47" s="12">
        <v>-10.11235821113158</v>
      </c>
      <c r="H47" s="12">
        <v>-17.098444360525495</v>
      </c>
      <c r="I47" s="12">
        <v>-13.978493341835602</v>
      </c>
      <c r="J47" s="12">
        <v>-13.978493341835602</v>
      </c>
      <c r="K47" s="12">
        <v>-13.978493341835602</v>
      </c>
    </row>
    <row r="48" spans="1:11" x14ac:dyDescent="0.25">
      <c r="B48" t="s">
        <v>91</v>
      </c>
      <c r="C48" t="s">
        <v>92</v>
      </c>
      <c r="E48" s="12">
        <v>-8.8888874760380556</v>
      </c>
      <c r="F48" s="12">
        <v>-3.9062485098838828</v>
      </c>
      <c r="G48" s="12">
        <v>-7.5187955583844914</v>
      </c>
      <c r="H48" s="12">
        <v>-13.986012652203749</v>
      </c>
      <c r="I48" s="12">
        <v>-13.986012652203749</v>
      </c>
      <c r="J48" s="12">
        <v>-13.986012652203749</v>
      </c>
      <c r="K48" s="12">
        <v>-13.986012652203749</v>
      </c>
    </row>
    <row r="49" spans="1:13" x14ac:dyDescent="0.25">
      <c r="B49" t="s">
        <v>93</v>
      </c>
      <c r="C49" t="s">
        <v>94</v>
      </c>
      <c r="E49" s="12">
        <v>10.909089175137607</v>
      </c>
      <c r="F49" s="12">
        <v>6.0869548631751025</v>
      </c>
      <c r="G49" s="12">
        <v>5.1724121488373891</v>
      </c>
      <c r="H49" s="12">
        <v>10.909089175137607</v>
      </c>
      <c r="I49" s="12">
        <v>39.428569248744424</v>
      </c>
      <c r="J49" s="12">
        <v>76.811591438625157</v>
      </c>
      <c r="K49" s="12">
        <v>76.811591438625157</v>
      </c>
    </row>
    <row r="50" spans="1:13" x14ac:dyDescent="0.25">
      <c r="B50" t="s">
        <v>95</v>
      </c>
      <c r="C50" t="s">
        <v>96</v>
      </c>
      <c r="E50" s="12">
        <v>1.3888915379842159</v>
      </c>
      <c r="F50" s="12">
        <v>10.606063495982772</v>
      </c>
      <c r="G50" s="12">
        <v>-16.571426391601563</v>
      </c>
      <c r="H50" s="12">
        <v>-25.128203171950119</v>
      </c>
      <c r="I50" s="12">
        <v>-21.925131649894514</v>
      </c>
      <c r="J50" s="12">
        <v>-21.925131649894514</v>
      </c>
      <c r="K50" s="12">
        <v>-21.925131649894514</v>
      </c>
    </row>
    <row r="51" spans="1:13" x14ac:dyDescent="0.25">
      <c r="A51" s="14" t="s">
        <v>97</v>
      </c>
      <c r="B51" s="13" t="str">
        <f>CONCATENATE(A51," CH Equity")</f>
        <v>002230 CH Equity</v>
      </c>
      <c r="C51" t="s">
        <v>98</v>
      </c>
      <c r="D51" s="10" t="s">
        <v>51</v>
      </c>
      <c r="E51" s="12">
        <v>0.89152989380426317</v>
      </c>
      <c r="F51" s="12">
        <v>-4.7017549213610197</v>
      </c>
      <c r="G51" s="12">
        <v>9.7595467666684517</v>
      </c>
      <c r="H51" s="12">
        <v>1.7228458704573413</v>
      </c>
      <c r="I51" s="12">
        <v>5.5577141368523471</v>
      </c>
      <c r="J51" s="12">
        <v>6.7190563749002372</v>
      </c>
      <c r="K51" s="12">
        <v>9.3397739428828874</v>
      </c>
    </row>
    <row r="52" spans="1:13" x14ac:dyDescent="0.25">
      <c r="A52">
        <v>2382</v>
      </c>
      <c r="B52" s="13" t="str">
        <f>CONCATENATE(A52," HK Equity")</f>
        <v>2382 HK Equity</v>
      </c>
      <c r="C52" t="s">
        <v>99</v>
      </c>
      <c r="D52" s="10" t="s">
        <v>51</v>
      </c>
      <c r="E52" s="12">
        <v>-18.616630997703393</v>
      </c>
      <c r="F52" s="12">
        <v>-7.8333346048990879</v>
      </c>
      <c r="G52" s="12">
        <v>-18.255729139600085</v>
      </c>
      <c r="H52" s="12">
        <v>-30.483973303506538</v>
      </c>
      <c r="I52" s="12">
        <v>-34.672180464193097</v>
      </c>
      <c r="J52" s="12">
        <v>-41.972718534039302</v>
      </c>
      <c r="K52" s="12">
        <v>-72.294589560590907</v>
      </c>
    </row>
    <row r="53" spans="1:13" x14ac:dyDescent="0.25">
      <c r="A53" t="s">
        <v>100</v>
      </c>
      <c r="B53" s="13" t="str">
        <f>CONCATENATE(A53," US Equity")</f>
        <v>COIN US Equity</v>
      </c>
      <c r="C53" t="s">
        <v>101</v>
      </c>
      <c r="D53" s="10" t="s">
        <v>60</v>
      </c>
      <c r="E53" s="12">
        <v>-25.654251046378896</v>
      </c>
      <c r="F53" s="12">
        <v>-6.3930586607047895</v>
      </c>
      <c r="G53" s="12">
        <v>-33.202917268099981</v>
      </c>
      <c r="H53" s="12">
        <v>-42.070760310976411</v>
      </c>
      <c r="I53" s="12">
        <v>-14.532199270959905</v>
      </c>
      <c r="J53" s="12">
        <v>176.05965463108316</v>
      </c>
      <c r="K53" s="12">
        <v>-29.660000000000004</v>
      </c>
    </row>
    <row r="54" spans="1:13" x14ac:dyDescent="0.25">
      <c r="A54">
        <v>9984</v>
      </c>
      <c r="B54" s="13" t="str">
        <f>CONCATENATE(A54," JP Equity")</f>
        <v>9984 JP Equity</v>
      </c>
      <c r="C54" t="s">
        <v>102</v>
      </c>
      <c r="D54" s="10" t="s">
        <v>60</v>
      </c>
      <c r="E54" s="12">
        <v>-12.329360780065006</v>
      </c>
      <c r="F54" s="12">
        <v>-1.0757946210268949</v>
      </c>
      <c r="G54" s="12">
        <v>3.2801531589023609</v>
      </c>
      <c r="H54" s="12">
        <v>5.2275682704811439</v>
      </c>
      <c r="I54" s="12">
        <v>94.285714285714278</v>
      </c>
      <c r="J54" s="12">
        <v>189.87999283539315</v>
      </c>
      <c r="K54" s="12">
        <v>55.915221579961461</v>
      </c>
    </row>
    <row r="55" spans="1:13" x14ac:dyDescent="0.25">
      <c r="A55" s="14">
        <v>300</v>
      </c>
      <c r="B55" s="13" t="str">
        <f>CONCATENATE(A55," HK Equity")</f>
        <v>300 HK Equity</v>
      </c>
      <c r="C55" t="s">
        <v>103</v>
      </c>
      <c r="D55" s="10" t="s">
        <v>60</v>
      </c>
      <c r="E55" s="12">
        <v>-2.1276578657571008</v>
      </c>
      <c r="F55" s="12">
        <v>1.9242000301794824</v>
      </c>
      <c r="G55" s="12">
        <v>-3.3720270581769998</v>
      </c>
      <c r="H55" s="12">
        <v>0.69124599755634686</v>
      </c>
      <c r="I55" s="12">
        <v>22.75281113185239</v>
      </c>
      <c r="J55" s="12">
        <v>59.489053879341078</v>
      </c>
      <c r="K55" s="12">
        <v>59.489053879341078</v>
      </c>
    </row>
    <row r="57" spans="1:13" s="9" customFormat="1" x14ac:dyDescent="0.25">
      <c r="B57" s="7" t="s">
        <v>104</v>
      </c>
      <c r="C57" s="7" t="str">
        <f>_xll.BQL(_xll.BQL.LIST($B$58:$B$61), "name","showids=F","cols=1;rows=5")</f>
        <v>name</v>
      </c>
      <c r="D57" s="18"/>
    </row>
    <row r="58" spans="1:13" x14ac:dyDescent="0.25">
      <c r="B58" s="13" t="s">
        <v>105</v>
      </c>
      <c r="C58" t="s">
        <v>106</v>
      </c>
      <c r="D58" s="10" t="s">
        <v>60</v>
      </c>
      <c r="E58" s="11">
        <f>_xll.BQL(_xll.BQL.LIST($B$58:$B$61), E$3, "showids=F", "showheaders=F","cols=1;rows=4")</f>
        <v>21.459777041277501</v>
      </c>
      <c r="F58" s="11">
        <f>_xll.BQL(_xll.BQL.LIST($B$58:$B$61), F$3, "showids=F", "showheaders=F","cols=1;rows=4")</f>
        <v>13.255917402196054</v>
      </c>
      <c r="G58" s="11">
        <f>_xll.BQL(_xll.BQL.LIST($B$58:$B$61), G$3, "showids=F", "showheaders=F","cols=1;rows=4")</f>
        <v>24.922528664394171</v>
      </c>
      <c r="H58" s="11">
        <f>_xll.BQL(_xll.BQL.LIST($B$58:$B$61), H$3, "showids=F", "showheaders=F","cols=1;rows=4")</f>
        <v>48.576430480051606</v>
      </c>
      <c r="I58" s="11">
        <f>_xll.BQL(_xll.BQL.LIST($B$58:$B$61), I$3, "showids=F", "showheaders=F","cols=1;rows=4")</f>
        <v>81.356376996326006</v>
      </c>
      <c r="J58" s="11">
        <f>_xll.BQL(_xll.BQL.LIST($B$58:$B$61), J$3, "showids=F", "showheaders=F","cols=1;rows=4")</f>
        <v>183.45833821633659</v>
      </c>
      <c r="K58" s="11">
        <f>_xll.BQL(_xll.BQL.LIST($B$58:$B$61), K$3, "showids=F", "showheaders=F","cols=1;rows=4")</f>
        <v>197.85727479834986</v>
      </c>
    </row>
    <row r="59" spans="1:13" x14ac:dyDescent="0.25">
      <c r="A59">
        <v>6680</v>
      </c>
      <c r="B59" s="13" t="str">
        <f>CONCATENATE(A59," HK Equity")</f>
        <v>6680 HK Equity</v>
      </c>
      <c r="C59" t="s">
        <v>107</v>
      </c>
      <c r="D59" s="10" t="s">
        <v>60</v>
      </c>
      <c r="E59" s="11">
        <v>30.290460784405589</v>
      </c>
      <c r="F59" s="11">
        <v>22.417158085932741</v>
      </c>
      <c r="G59" s="11">
        <v>34.836290065665054</v>
      </c>
      <c r="H59" s="11">
        <v>17.38318149174486</v>
      </c>
      <c r="I59" s="11">
        <v>87.742906122820614</v>
      </c>
      <c r="J59" s="11">
        <v>66.426506595335169</v>
      </c>
      <c r="K59" s="11">
        <v>18.911246576252793</v>
      </c>
    </row>
    <row r="60" spans="1:13" x14ac:dyDescent="0.25">
      <c r="A60" t="s">
        <v>108</v>
      </c>
      <c r="B60" s="13" t="str">
        <f>CONCATENATE(A60," US Equity")</f>
        <v>MP US Equity</v>
      </c>
      <c r="C60" t="s">
        <v>109</v>
      </c>
      <c r="D60" s="10" t="s">
        <v>60</v>
      </c>
      <c r="E60" s="11">
        <v>7.0947789703474591</v>
      </c>
      <c r="F60" s="11">
        <v>-0.40602266959905597</v>
      </c>
      <c r="G60" s="11">
        <v>-3.2380013149244014</v>
      </c>
      <c r="H60" s="11">
        <v>-12.538998662902992</v>
      </c>
      <c r="I60" s="11">
        <v>161.29604971149575</v>
      </c>
      <c r="J60" s="11">
        <v>84.603323925995596</v>
      </c>
      <c r="K60" s="11">
        <v>19.073624595469255</v>
      </c>
    </row>
    <row r="61" spans="1:13" x14ac:dyDescent="0.25">
      <c r="A61" s="14">
        <v>600111</v>
      </c>
      <c r="B61" s="13" t="str">
        <f>CONCATENATE(A61," CH Equity")</f>
        <v>600111 CH Equity</v>
      </c>
      <c r="C61" t="s">
        <v>110</v>
      </c>
      <c r="D61" s="10" t="s">
        <v>60</v>
      </c>
      <c r="E61" s="12">
        <v>31.782287467378435</v>
      </c>
      <c r="F61" s="12">
        <v>29.542596891453631</v>
      </c>
      <c r="G61" s="12">
        <v>33.060348444971552</v>
      </c>
      <c r="H61" s="12">
        <v>15.05777427966232</v>
      </c>
      <c r="I61" s="12">
        <v>168.43478990637738</v>
      </c>
      <c r="J61" s="12">
        <v>119.79352680123458</v>
      </c>
      <c r="K61" s="12">
        <v>177.48315361108672</v>
      </c>
    </row>
    <row r="62" spans="1:13" x14ac:dyDescent="0.25">
      <c r="E62" s="10"/>
      <c r="F62" s="10"/>
      <c r="G62" s="10"/>
      <c r="H62" s="10"/>
      <c r="I62" s="10"/>
      <c r="J62" s="10"/>
      <c r="K62" s="10"/>
      <c r="L62" s="10"/>
      <c r="M62" s="10"/>
    </row>
    <row r="66" spans="1:11" s="9" customFormat="1" x14ac:dyDescent="0.25">
      <c r="B66" s="7" t="s">
        <v>111</v>
      </c>
      <c r="C66" s="7" t="str">
        <f>_xll.BQL(_xll.BQL.LIST($B$67:$B$76), "name","showids=F","cols=1;rows=11")</f>
        <v>name</v>
      </c>
      <c r="D66" s="18"/>
    </row>
    <row r="67" spans="1:11" x14ac:dyDescent="0.25">
      <c r="B67" t="s">
        <v>112</v>
      </c>
      <c r="C67" t="s">
        <v>113</v>
      </c>
      <c r="E67" s="11">
        <f>_xll.BQL(_xll.BQL.LIST($B$67:$B$76), E$3, "showids=F", "showheaders=F","cols=1;rows=10")</f>
        <v>21.686745838946614</v>
      </c>
      <c r="F67" s="11">
        <f>_xll.BQL(_xll.BQL.LIST($B$67:$B$76), F$3, "showids=F", "showheaders=F","cols=1;rows=10")</f>
        <v>12.222221162584091</v>
      </c>
      <c r="G67" s="11">
        <f>_xll.BQL(_xll.BQL.LIST($B$67:$B$76), G$3, "showids=F", "showheaders=F","cols=1;rows=10")</f>
        <v>9.7826076590496509</v>
      </c>
      <c r="H67" s="11">
        <f>_xll.BQL(_xll.BQL.LIST($B$67:$B$76), H$3, "showids=F", "showheaders=F","cols=1;rows=10")</f>
        <v>9.7826076590496509</v>
      </c>
      <c r="I67" s="11">
        <f>_xll.BQL(_xll.BQL.LIST($B$67:$B$76), I$3, "showids=F", "showheaders=F","cols=1;rows=10")</f>
        <v>9.7826076590496509</v>
      </c>
      <c r="J67" s="11">
        <f>_xll.BQL(_xll.BQL.LIST($B$67:$B$76), J$3, "showids=F", "showheaders=F","cols=1;rows=10")</f>
        <v>9.7826076590496509</v>
      </c>
      <c r="K67" s="11">
        <f>_xll.BQL(_xll.BQL.LIST($B$67:$B$76), K$3, "showids=F", "showheaders=F","cols=1;rows=10")</f>
        <v>9.7826076590496509</v>
      </c>
    </row>
    <row r="68" spans="1:11" x14ac:dyDescent="0.25">
      <c r="A68" t="s">
        <v>114</v>
      </c>
      <c r="B68" s="13" t="str">
        <f>CONCATENATE(A68," US Equity")</f>
        <v>NEE US Equity</v>
      </c>
      <c r="C68" t="s">
        <v>115</v>
      </c>
      <c r="D68" s="10" t="s">
        <v>60</v>
      </c>
      <c r="E68" s="11">
        <v>15.865562832077091</v>
      </c>
      <c r="F68" s="11">
        <v>8.6180933626780938</v>
      </c>
      <c r="G68" s="11">
        <v>10.86545282572712</v>
      </c>
      <c r="H68" s="11">
        <v>29.070887818306936</v>
      </c>
      <c r="I68" s="11">
        <v>30.927115330913139</v>
      </c>
      <c r="J68" s="11">
        <v>29.857360476388315</v>
      </c>
      <c r="K68" s="11">
        <v>24.132909716706365</v>
      </c>
    </row>
    <row r="69" spans="1:11" x14ac:dyDescent="0.25">
      <c r="A69" t="s">
        <v>116</v>
      </c>
      <c r="B69" s="13" t="str">
        <f>CONCATENATE(A69," US Equity")</f>
        <v>GEV US Equity</v>
      </c>
      <c r="C69" t="s">
        <v>117</v>
      </c>
      <c r="D69" s="10" t="s">
        <v>60</v>
      </c>
      <c r="E69" s="11">
        <v>28.555661835037903</v>
      </c>
      <c r="F69" s="11">
        <v>15.713207147303866</v>
      </c>
      <c r="G69" s="11">
        <v>45.217593670002323</v>
      </c>
      <c r="H69" s="11">
        <v>50.703836599503191</v>
      </c>
      <c r="I69" s="11">
        <v>176.47319450598138</v>
      </c>
      <c r="J69" s="11">
        <v>565.6</v>
      </c>
      <c r="K69" s="11">
        <v>565.6</v>
      </c>
    </row>
    <row r="70" spans="1:11" x14ac:dyDescent="0.25">
      <c r="B70" s="15" t="s">
        <v>118</v>
      </c>
      <c r="C70" t="s">
        <v>119</v>
      </c>
      <c r="D70" s="10" t="s">
        <v>67</v>
      </c>
      <c r="E70" s="11">
        <v>27.71144278606965</v>
      </c>
      <c r="F70" s="11">
        <v>6.8470343392299817</v>
      </c>
      <c r="G70" s="11">
        <v>41.199119911991211</v>
      </c>
      <c r="H70" s="11">
        <v>43.008356545961021</v>
      </c>
      <c r="I70" s="11">
        <v>28.930185836263195</v>
      </c>
      <c r="J70" s="11">
        <v>-7.1609403254972763</v>
      </c>
      <c r="K70" s="11">
        <v>82.444918265813797</v>
      </c>
    </row>
    <row r="71" spans="1:11" x14ac:dyDescent="0.25">
      <c r="B71" s="15" t="s">
        <v>120</v>
      </c>
      <c r="C71" t="s">
        <v>121</v>
      </c>
      <c r="D71" s="10" t="s">
        <v>67</v>
      </c>
      <c r="E71" s="11">
        <v>24.337545862209534</v>
      </c>
      <c r="F71" s="11">
        <v>10.187861271676296</v>
      </c>
      <c r="G71" s="11">
        <v>32.17195354480846</v>
      </c>
      <c r="H71" s="11">
        <v>32.967128781933916</v>
      </c>
      <c r="I71" s="11">
        <v>41.518188567186328</v>
      </c>
      <c r="J71" s="11">
        <v>36.894075403949721</v>
      </c>
      <c r="K71" s="11">
        <v>171.98145175673267</v>
      </c>
    </row>
    <row r="72" spans="1:11" x14ac:dyDescent="0.25">
      <c r="B72" s="15" t="s">
        <v>122</v>
      </c>
      <c r="C72" t="s">
        <v>123</v>
      </c>
      <c r="D72" s="10" t="s">
        <v>67</v>
      </c>
      <c r="E72" s="11">
        <v>25.247758376592721</v>
      </c>
      <c r="F72" s="11">
        <v>21.18721461187215</v>
      </c>
      <c r="G72" s="11">
        <v>26.441162458313489</v>
      </c>
      <c r="H72" s="11">
        <v>10.468262226847038</v>
      </c>
      <c r="I72" s="11">
        <v>14.273412271259408</v>
      </c>
      <c r="J72" s="11">
        <v>-11.929649908743993</v>
      </c>
      <c r="K72" s="11">
        <v>90.797987059669296</v>
      </c>
    </row>
    <row r="73" spans="1:11" x14ac:dyDescent="0.25">
      <c r="B73" s="15" t="s">
        <v>124</v>
      </c>
      <c r="C73" t="s">
        <v>125</v>
      </c>
      <c r="D73" s="10" t="s">
        <v>67</v>
      </c>
      <c r="E73" s="11">
        <v>19.794740218088506</v>
      </c>
      <c r="F73" s="11">
        <v>7.3148307763029301</v>
      </c>
      <c r="G73" s="11">
        <v>24.299500831946748</v>
      </c>
      <c r="H73" s="11">
        <v>15.405054687017225</v>
      </c>
      <c r="I73" s="11">
        <v>21.993598536808403</v>
      </c>
      <c r="J73" s="11">
        <v>14.886811023622041</v>
      </c>
      <c r="K73" s="11">
        <v>82.31159703240921</v>
      </c>
    </row>
    <row r="74" spans="1:11" x14ac:dyDescent="0.25">
      <c r="B74" s="15" t="s">
        <v>126</v>
      </c>
      <c r="C74" t="s">
        <v>127</v>
      </c>
      <c r="D74" s="10" t="s">
        <v>67</v>
      </c>
      <c r="E74" s="11">
        <v>74.129280947018017</v>
      </c>
      <c r="F74" s="11">
        <v>41.024481398814778</v>
      </c>
      <c r="G74" s="11">
        <v>108.59478949227224</v>
      </c>
      <c r="H74" s="11">
        <v>165.31521516401938</v>
      </c>
      <c r="I74" s="11">
        <v>256.29987988531798</v>
      </c>
      <c r="J74" s="11">
        <v>300.99453918437445</v>
      </c>
      <c r="K74" s="11">
        <v>192.71662263177873</v>
      </c>
    </row>
    <row r="75" spans="1:11" x14ac:dyDescent="0.25">
      <c r="B75" s="15" t="s">
        <v>128</v>
      </c>
      <c r="C75" t="s">
        <v>129</v>
      </c>
      <c r="D75" s="10" t="s">
        <v>67</v>
      </c>
      <c r="E75" s="11">
        <v>27.723817567567565</v>
      </c>
      <c r="F75" s="11">
        <v>23.04719283970708</v>
      </c>
      <c r="G75" s="11">
        <v>36.269430051813472</v>
      </c>
      <c r="H75" s="11">
        <v>25.3159312202196</v>
      </c>
      <c r="I75" s="11">
        <v>8.0178571428571423</v>
      </c>
      <c r="J75" s="11">
        <v>70.875706214689259</v>
      </c>
      <c r="K75" s="11">
        <v>463.57142857142861</v>
      </c>
    </row>
    <row r="76" spans="1:11" x14ac:dyDescent="0.25">
      <c r="B76" s="15" t="s">
        <v>130</v>
      </c>
      <c r="C76" t="s">
        <v>131</v>
      </c>
      <c r="D76" s="10" t="s">
        <v>67</v>
      </c>
      <c r="E76" s="11">
        <v>18.652423993426456</v>
      </c>
      <c r="F76" s="11">
        <v>8.7349397590361466</v>
      </c>
      <c r="G76" s="11">
        <v>12.900703674745898</v>
      </c>
      <c r="H76" s="11">
        <v>3.5125448028673851</v>
      </c>
      <c r="I76" s="11">
        <v>4.410701373825014</v>
      </c>
      <c r="J76" s="11">
        <v>-3.4113712374581926</v>
      </c>
      <c r="K76" s="11">
        <v>39.922480620155035</v>
      </c>
    </row>
    <row r="77" spans="1:11" x14ac:dyDescent="0.25">
      <c r="E77" s="19"/>
      <c r="F77" s="19"/>
      <c r="G77" s="19"/>
      <c r="H77" s="19"/>
      <c r="I77" s="19"/>
      <c r="J77" s="19"/>
      <c r="K77" s="19"/>
    </row>
    <row r="78" spans="1:11" x14ac:dyDescent="0.25">
      <c r="E78" s="19"/>
      <c r="F78" s="19"/>
      <c r="G78" s="19"/>
      <c r="H78" s="19"/>
      <c r="I78" s="19"/>
      <c r="J78" s="19"/>
      <c r="K78" s="19"/>
    </row>
    <row r="80" spans="1:11" s="9" customFormat="1" x14ac:dyDescent="0.25">
      <c r="B80" s="7" t="s">
        <v>132</v>
      </c>
      <c r="C80" s="7" t="str">
        <f>_xll.BQL(_xll.BQL.LIST($B$81:$B$97), "name","showids=F","cols=1;rows=18")</f>
        <v>name</v>
      </c>
      <c r="D80" s="18"/>
    </row>
    <row r="81" spans="1:11" x14ac:dyDescent="0.25">
      <c r="B81" t="s">
        <v>133</v>
      </c>
      <c r="C81" t="s">
        <v>134</v>
      </c>
      <c r="E81" s="11">
        <f>_xll.BQL(_xll.BQL.LIST($B$81:$B$97), E$3, "showids=F", "showheaders=F","cols=1;rows=17")</f>
        <v>-9.0909090909090917</v>
      </c>
      <c r="F81" s="11">
        <f>_xll.BQL(_xll.BQL.LIST($B$81:$B$97), F$3, "showids=F", "showheaders=F","cols=1;rows=17")</f>
        <v>-2.7777777777777799</v>
      </c>
      <c r="G81" s="11">
        <f>_xll.BQL(_xll.BQL.LIST($B$81:$B$97), G$3, "showids=F", "showheaders=F","cols=1;rows=17")</f>
        <v>-11.949685534591197</v>
      </c>
      <c r="H81" s="11">
        <f>_xll.BQL(_xll.BQL.LIST($B$81:$B$97), H$3, "showids=F", "showheaders=F","cols=1;rows=17")</f>
        <v>-31.707317073170731</v>
      </c>
      <c r="I81" s="11">
        <f>_xll.BQL(_xll.BQL.LIST($B$81:$B$97), I$3, "showids=F", "showheaders=F","cols=1;rows=17")</f>
        <v>-31.707317073170731</v>
      </c>
      <c r="J81" s="11">
        <f>_xll.BQL(_xll.BQL.LIST($B$81:$B$97), J$3, "showids=F", "showheaders=F","cols=1;rows=17")</f>
        <v>-31.707317073170731</v>
      </c>
      <c r="K81" s="11">
        <f>_xll.BQL(_xll.BQL.LIST($B$81:$B$97), K$3, "showids=F", "showheaders=F","cols=1;rows=17")</f>
        <v>-31.707317073170731</v>
      </c>
    </row>
    <row r="82" spans="1:11" x14ac:dyDescent="0.25">
      <c r="B82" t="s">
        <v>135</v>
      </c>
      <c r="C82" t="s">
        <v>136</v>
      </c>
      <c r="E82" s="12">
        <v>14.649681528662425</v>
      </c>
      <c r="F82" s="12">
        <v>-1.6393442622950858</v>
      </c>
      <c r="G82" s="12">
        <v>0.55865921787710293</v>
      </c>
      <c r="H82" s="12">
        <v>-30.232558139534888</v>
      </c>
      <c r="I82" s="12">
        <v>71.428571428571431</v>
      </c>
      <c r="J82" s="12">
        <v>71.428571428571431</v>
      </c>
      <c r="K82" s="12">
        <v>71.428571428571431</v>
      </c>
    </row>
    <row r="83" spans="1:11" x14ac:dyDescent="0.25">
      <c r="B83" t="s">
        <v>137</v>
      </c>
      <c r="C83" t="s">
        <v>138</v>
      </c>
      <c r="E83" s="12">
        <v>-20.134224347620204</v>
      </c>
      <c r="F83" s="12">
        <v>-23.225802759970389</v>
      </c>
      <c r="G83" s="12">
        <v>-15.602832821244039</v>
      </c>
      <c r="H83" s="12">
        <v>-21.710522551285592</v>
      </c>
      <c r="I83" s="12">
        <v>-21.710522551285592</v>
      </c>
      <c r="J83" s="12">
        <v>-21.710522551285592</v>
      </c>
      <c r="K83" s="12">
        <v>-21.710522551285592</v>
      </c>
    </row>
    <row r="84" spans="1:11" x14ac:dyDescent="0.25">
      <c r="B84" t="s">
        <v>139</v>
      </c>
      <c r="C84" t="s">
        <v>140</v>
      </c>
      <c r="E84" s="12">
        <v>-19.999998807907104</v>
      </c>
      <c r="F84" s="12">
        <v>-4.4776105169040079</v>
      </c>
      <c r="G84" s="12">
        <v>-25.146197715000806</v>
      </c>
      <c r="H84" s="12">
        <v>-24.260353900977133</v>
      </c>
      <c r="I84" s="12">
        <v>-24.260353900977133</v>
      </c>
      <c r="J84" s="12">
        <v>-24.260353900977133</v>
      </c>
      <c r="K84" s="12">
        <v>-24.260353900977133</v>
      </c>
    </row>
    <row r="85" spans="1:11" x14ac:dyDescent="0.25">
      <c r="B85" t="s">
        <v>141</v>
      </c>
      <c r="C85" t="s">
        <v>142</v>
      </c>
      <c r="E85" s="12">
        <v>-0.89285586561476427</v>
      </c>
      <c r="F85" s="12">
        <v>-12.598424070463407</v>
      </c>
      <c r="G85" s="12">
        <v>8.8235308142269329</v>
      </c>
      <c r="H85" s="12">
        <v>13.265307582154568</v>
      </c>
      <c r="I85" s="12">
        <v>76.190478461129317</v>
      </c>
      <c r="J85" s="12">
        <v>76.190478461129317</v>
      </c>
      <c r="K85" s="12">
        <v>76.190478461129317</v>
      </c>
    </row>
    <row r="86" spans="1:11" x14ac:dyDescent="0.25">
      <c r="B86" t="s">
        <v>143</v>
      </c>
      <c r="C86" t="s">
        <v>144</v>
      </c>
      <c r="E86" s="12">
        <v>-4.0404052445382774</v>
      </c>
      <c r="F86" s="12">
        <v>-3.0612257062172388</v>
      </c>
      <c r="G86" s="12">
        <v>-8.6538473000893266</v>
      </c>
      <c r="H86" s="12">
        <v>-24.603175549280078</v>
      </c>
      <c r="I86" s="12">
        <v>1.0638285190501169</v>
      </c>
      <c r="J86" s="12">
        <v>1.0638285190501169</v>
      </c>
      <c r="K86" s="12">
        <v>1.0638285190501169</v>
      </c>
    </row>
    <row r="87" spans="1:11" x14ac:dyDescent="0.25">
      <c r="B87" t="s">
        <v>145</v>
      </c>
      <c r="C87" t="s">
        <v>146</v>
      </c>
      <c r="E87" s="12">
        <v>-6.410253964937648</v>
      </c>
      <c r="F87" s="12">
        <v>-4.5751609054266282</v>
      </c>
      <c r="G87" s="12">
        <v>-8.749997615814209</v>
      </c>
      <c r="H87" s="12">
        <v>-6.410253964937648</v>
      </c>
      <c r="I87" s="12">
        <v>-24.742266074898311</v>
      </c>
      <c r="J87" s="12">
        <v>-7.0063669970081062</v>
      </c>
      <c r="K87" s="12">
        <v>-7.0063669970081062</v>
      </c>
    </row>
    <row r="88" spans="1:11" x14ac:dyDescent="0.25">
      <c r="B88" t="s">
        <v>147</v>
      </c>
      <c r="C88" t="s">
        <v>148</v>
      </c>
      <c r="E88" s="12">
        <v>4.4444419719554693</v>
      </c>
      <c r="F88" s="12">
        <v>-3.4246598204521259</v>
      </c>
      <c r="G88" s="12">
        <v>-2.3672766662611839E-6</v>
      </c>
      <c r="H88" s="12">
        <v>-6.0000022252400722</v>
      </c>
      <c r="I88" s="12">
        <v>13.709674727532173</v>
      </c>
      <c r="J88" s="12">
        <v>-2.0833356512917378</v>
      </c>
      <c r="K88" s="12">
        <v>-2.0833356512917378</v>
      </c>
    </row>
    <row r="89" spans="1:11" x14ac:dyDescent="0.25">
      <c r="B89" t="s">
        <v>149</v>
      </c>
      <c r="C89" t="s">
        <v>150</v>
      </c>
      <c r="E89" s="12">
        <v>-1.7094037471673367</v>
      </c>
      <c r="F89" s="12">
        <v>8.490563788503966</v>
      </c>
      <c r="G89" s="12">
        <v>-8.0000019073486328</v>
      </c>
      <c r="H89" s="12">
        <v>-27.215191382396075</v>
      </c>
      <c r="I89" s="12">
        <v>-27.672957474330691</v>
      </c>
      <c r="J89" s="12">
        <v>-25.324676872847917</v>
      </c>
      <c r="K89" s="12">
        <v>-25.324676872847917</v>
      </c>
    </row>
    <row r="90" spans="1:11" x14ac:dyDescent="0.25">
      <c r="B90" t="s">
        <v>151</v>
      </c>
      <c r="C90" t="s">
        <v>152</v>
      </c>
      <c r="E90" s="12">
        <v>17.543856302897133</v>
      </c>
      <c r="F90" s="12">
        <v>10.743798500250197</v>
      </c>
      <c r="G90" s="12">
        <v>14.529911269489522</v>
      </c>
      <c r="H90" s="12">
        <v>30.097083675051188</v>
      </c>
      <c r="I90" s="12">
        <v>25.233641294675461</v>
      </c>
      <c r="J90" s="12">
        <v>44.086017403551317</v>
      </c>
      <c r="K90" s="12">
        <v>44.086017403551317</v>
      </c>
    </row>
    <row r="91" spans="1:11" x14ac:dyDescent="0.25">
      <c r="B91" t="s">
        <v>153</v>
      </c>
      <c r="C91" t="s">
        <v>154</v>
      </c>
      <c r="E91" s="12">
        <v>-13.106797968299647</v>
      </c>
      <c r="F91" s="12">
        <v>1.7045432871038257</v>
      </c>
      <c r="G91" s="12">
        <v>-22.173914702042282</v>
      </c>
      <c r="H91" s="12">
        <v>-17.889910006741871</v>
      </c>
      <c r="I91" s="12">
        <v>-14.35406881085993</v>
      </c>
      <c r="J91" s="12">
        <v>20.134225627719957</v>
      </c>
      <c r="K91" s="12">
        <v>20.134225627719957</v>
      </c>
    </row>
    <row r="92" spans="1:11" x14ac:dyDescent="0.25">
      <c r="B92" t="s">
        <v>155</v>
      </c>
      <c r="C92" t="s">
        <v>156</v>
      </c>
      <c r="E92" s="12">
        <v>-21.97802302601573</v>
      </c>
      <c r="F92" s="12">
        <v>-10.691825098961406</v>
      </c>
      <c r="G92" s="12">
        <v>-22.826087993124251</v>
      </c>
      <c r="H92" s="12">
        <v>-20.224720172667773</v>
      </c>
      <c r="I92" s="12">
        <v>4.411763303420126</v>
      </c>
      <c r="J92" s="12">
        <v>19.327729489622993</v>
      </c>
      <c r="K92" s="12">
        <v>19.327729489622993</v>
      </c>
    </row>
    <row r="93" spans="1:11" x14ac:dyDescent="0.25">
      <c r="B93" t="s">
        <v>157</v>
      </c>
      <c r="C93" t="s">
        <v>158</v>
      </c>
      <c r="E93" s="12">
        <v>14.598538753760129</v>
      </c>
      <c r="F93" s="12">
        <v>8.2758607535526671</v>
      </c>
      <c r="G93" s="12">
        <v>25.599998474121094</v>
      </c>
      <c r="H93" s="12">
        <v>25.599998474121094</v>
      </c>
      <c r="I93" s="12">
        <v>22.656248509883874</v>
      </c>
      <c r="J93" s="12">
        <v>9.7902084563995508</v>
      </c>
      <c r="K93" s="12">
        <v>9.7902084563995508</v>
      </c>
    </row>
    <row r="94" spans="1:11" x14ac:dyDescent="0.25">
      <c r="B94" t="s">
        <v>159</v>
      </c>
      <c r="C94" t="s">
        <v>160</v>
      </c>
      <c r="E94" s="12">
        <v>14.503816793893126</v>
      </c>
      <c r="F94" s="12">
        <v>2.7397260273972628</v>
      </c>
      <c r="G94" s="12">
        <v>9.4890510948905025</v>
      </c>
      <c r="H94" s="12">
        <v>4.8951048951048994</v>
      </c>
      <c r="I94" s="12">
        <v>12.781954887218038</v>
      </c>
      <c r="J94" s="12">
        <v>12.781954887218038</v>
      </c>
      <c r="K94" s="12">
        <v>12.781954887218038</v>
      </c>
    </row>
    <row r="95" spans="1:11" x14ac:dyDescent="0.25">
      <c r="B95" t="s">
        <v>161</v>
      </c>
      <c r="C95" t="s">
        <v>162</v>
      </c>
      <c r="E95" s="12">
        <v>-22.891567988568038</v>
      </c>
      <c r="F95" s="12">
        <v>-18.471339401925448</v>
      </c>
      <c r="G95" s="12">
        <v>-18.98734358292592</v>
      </c>
      <c r="H95" s="12">
        <v>-29.281769536476769</v>
      </c>
      <c r="I95" s="12">
        <v>-25.146200503522191</v>
      </c>
      <c r="J95" s="12">
        <v>-25.146200503522191</v>
      </c>
      <c r="K95" s="12">
        <v>-25.146200503522191</v>
      </c>
    </row>
    <row r="96" spans="1:11" x14ac:dyDescent="0.25">
      <c r="A96">
        <v>2097</v>
      </c>
      <c r="B96" s="20" t="str">
        <f>CONCATENATE(A96," HK Equity")</f>
        <v>2097 HK Equity</v>
      </c>
      <c r="C96" t="s">
        <v>163</v>
      </c>
      <c r="E96" s="12">
        <v>-18.141592920353986</v>
      </c>
      <c r="F96" s="12">
        <v>-14.175257731958762</v>
      </c>
      <c r="G96" s="12">
        <v>-19.174757281553397</v>
      </c>
      <c r="H96" s="12">
        <v>-17.899408284023675</v>
      </c>
      <c r="I96" s="12">
        <v>14.827586206896552</v>
      </c>
      <c r="J96" s="12">
        <v>64.444444444444443</v>
      </c>
      <c r="K96" s="12">
        <v>64.444444444444443</v>
      </c>
    </row>
    <row r="97" spans="1:11" x14ac:dyDescent="0.25">
      <c r="A97">
        <v>1318</v>
      </c>
      <c r="B97" s="20" t="str">
        <f>CONCATENATE(A97," HK Equity")</f>
        <v>1318 HK Equity</v>
      </c>
      <c r="C97" t="s">
        <v>164</v>
      </c>
      <c r="E97" s="12">
        <v>-9.2447148348989803</v>
      </c>
      <c r="F97" s="12">
        <v>-11.281750178238525</v>
      </c>
      <c r="G97" s="12">
        <v>-18.325178385947698</v>
      </c>
      <c r="H97" s="12">
        <v>-22.736627084237561</v>
      </c>
      <c r="I97" s="12">
        <v>-8.4146360071693973</v>
      </c>
      <c r="J97" s="12">
        <v>152.01341769839294</v>
      </c>
      <c r="K97" s="12">
        <v>152.01341769839294</v>
      </c>
    </row>
    <row r="99" spans="1:11" s="9" customFormat="1" x14ac:dyDescent="0.25">
      <c r="B99" s="7" t="s">
        <v>165</v>
      </c>
      <c r="C99" s="7" t="str">
        <f>_xll.BQL(_xll.BQL.LIST($B$100:$B$109), "name","showids=F","cols=1;rows=11")</f>
        <v>name</v>
      </c>
      <c r="D99" s="18"/>
    </row>
    <row r="100" spans="1:11" x14ac:dyDescent="0.25">
      <c r="B100" t="s">
        <v>166</v>
      </c>
      <c r="C100" t="s">
        <v>167</v>
      </c>
      <c r="E100" s="11">
        <f>_xll.BQL(_xll.BQL.LIST($B$100:$B$109), E$3, "showids=F", "showheaders=F","cols=1;rows=10")</f>
        <v>-4.1666658151717373</v>
      </c>
      <c r="F100" s="11">
        <f>_xll.BQL(_xll.BQL.LIST($B$100:$B$109), F$3, "showids=F", "showheaders=F","cols=1;rows=10")</f>
        <v>-1.8292674204198267</v>
      </c>
      <c r="G100" s="11">
        <f>_xll.BQL(_xll.BQL.LIST($B$100:$B$109), G$3, "showids=F", "showheaders=F","cols=1;rows=10")</f>
        <v>-4.1666658151717373</v>
      </c>
      <c r="H100" s="11">
        <f>_xll.BQL(_xll.BQL.LIST($B$100:$B$109), H$3, "showids=F", "showheaders=F","cols=1;rows=10")</f>
        <v>38.79310468147542</v>
      </c>
      <c r="I100" s="11">
        <f>_xll.BQL(_xll.BQL.LIST($B$100:$B$109), I$3, "showids=F", "showheaders=F","cols=1;rows=10")</f>
        <v>18.382353993023134</v>
      </c>
      <c r="J100" s="11">
        <f>_xll.BQL(_xll.BQL.LIST($B$100:$B$109), J$3, "showids=F", "showheaders=F","cols=1;rows=10")</f>
        <v>18.382353993023134</v>
      </c>
      <c r="K100" s="11">
        <f>_xll.BQL(_xll.BQL.LIST($B$100:$B$109), K$3, "showids=F", "showheaders=F","cols=1;rows=10")</f>
        <v>18.382353993023134</v>
      </c>
    </row>
    <row r="101" spans="1:11" x14ac:dyDescent="0.25">
      <c r="B101" t="s">
        <v>168</v>
      </c>
      <c r="C101" t="s">
        <v>169</v>
      </c>
      <c r="E101" s="12">
        <v>-4.1666649281978572</v>
      </c>
      <c r="F101" s="12">
        <v>-2.6455008794390915</v>
      </c>
      <c r="G101" s="12">
        <v>-9.8039199324215183</v>
      </c>
      <c r="H101" s="12">
        <v>-11.538459933721105</v>
      </c>
      <c r="I101" s="12">
        <v>7.6023411332515263</v>
      </c>
      <c r="J101" s="12">
        <v>7.6023411332515263</v>
      </c>
      <c r="K101" s="12">
        <v>7.6023411332515263</v>
      </c>
    </row>
    <row r="102" spans="1:11" x14ac:dyDescent="0.25">
      <c r="B102" t="s">
        <v>170</v>
      </c>
      <c r="C102" t="s">
        <v>171</v>
      </c>
      <c r="E102" s="12">
        <v>-0.66666603088378906</v>
      </c>
      <c r="F102" s="12">
        <v>6.4004987737881102E-7</v>
      </c>
      <c r="G102" s="12">
        <v>-7.4534155567240328</v>
      </c>
      <c r="H102" s="12">
        <v>-7.4534155567240328</v>
      </c>
      <c r="I102" s="12">
        <v>-21.164020659431575</v>
      </c>
      <c r="J102" s="12">
        <v>-19.892472605551447</v>
      </c>
      <c r="K102" s="12">
        <v>-19.892472605551447</v>
      </c>
    </row>
    <row r="103" spans="1:11" x14ac:dyDescent="0.25">
      <c r="B103" t="s">
        <v>172</v>
      </c>
      <c r="C103" t="s">
        <v>173</v>
      </c>
      <c r="E103" s="12">
        <v>-30.120483938469938</v>
      </c>
      <c r="F103" s="12">
        <v>-36.612023681890769</v>
      </c>
      <c r="G103" s="12">
        <v>-25.161292476038781</v>
      </c>
      <c r="H103" s="12">
        <v>-37.634410396698989</v>
      </c>
      <c r="I103" s="12">
        <v>-62.580646238019391</v>
      </c>
      <c r="J103" s="12">
        <v>-70.558376481690374</v>
      </c>
      <c r="K103" s="12">
        <v>-70.558376481690374</v>
      </c>
    </row>
    <row r="104" spans="1:11" x14ac:dyDescent="0.25">
      <c r="B104" t="s">
        <v>174</v>
      </c>
      <c r="C104" t="s">
        <v>175</v>
      </c>
      <c r="E104" s="12">
        <v>-3.6231852959895408</v>
      </c>
      <c r="F104" s="12">
        <v>-7.638885908656647</v>
      </c>
      <c r="G104" s="12">
        <v>13.675217343191823</v>
      </c>
      <c r="H104" s="12">
        <v>12.711868043673247</v>
      </c>
      <c r="I104" s="12">
        <v>33.000004291534424</v>
      </c>
      <c r="J104" s="12">
        <v>15.652177644812552</v>
      </c>
      <c r="K104" s="12">
        <v>15.652177644812552</v>
      </c>
    </row>
    <row r="105" spans="1:11" x14ac:dyDescent="0.25">
      <c r="B105" t="s">
        <v>176</v>
      </c>
      <c r="C105" t="s">
        <v>177</v>
      </c>
      <c r="E105" s="12">
        <v>17.777771419948998</v>
      </c>
      <c r="F105" s="12">
        <v>9.2783446164475301</v>
      </c>
      <c r="G105" s="12">
        <v>10.416660706202194</v>
      </c>
      <c r="H105" s="12">
        <v>9.2783446164475301</v>
      </c>
      <c r="I105" s="12">
        <v>21.839073882705865</v>
      </c>
      <c r="J105" s="12">
        <v>21.839073882705865</v>
      </c>
      <c r="K105" s="12">
        <v>21.839073882705865</v>
      </c>
    </row>
    <row r="106" spans="1:11" x14ac:dyDescent="0.25">
      <c r="B106" t="s">
        <v>178</v>
      </c>
      <c r="C106" t="s">
        <v>179</v>
      </c>
      <c r="E106" s="12">
        <v>17.431190035758753</v>
      </c>
      <c r="F106" s="12">
        <v>7.5630228058630733</v>
      </c>
      <c r="G106" s="12">
        <v>10.34482511980781</v>
      </c>
      <c r="H106" s="12">
        <v>14.285711731229501</v>
      </c>
      <c r="I106" s="12">
        <v>9.4017069563906492</v>
      </c>
      <c r="J106" s="12">
        <v>9.4017069563906492</v>
      </c>
      <c r="K106" s="12">
        <v>9.4017069563906492</v>
      </c>
    </row>
    <row r="107" spans="1:11" x14ac:dyDescent="0.25">
      <c r="B107" t="s">
        <v>180</v>
      </c>
      <c r="C107" t="s">
        <v>181</v>
      </c>
      <c r="E107" s="12">
        <v>-0.64102869767409443</v>
      </c>
      <c r="F107" s="12">
        <v>1.9736810734397474</v>
      </c>
      <c r="G107" s="12">
        <v>-6.0606089505282261</v>
      </c>
      <c r="H107" s="12">
        <v>-5.4878077855924223</v>
      </c>
      <c r="I107" s="12">
        <v>-8.2840264901606968</v>
      </c>
      <c r="J107" s="12">
        <v>-8.2840264901606968</v>
      </c>
      <c r="K107" s="12">
        <v>-8.2840264901606968</v>
      </c>
    </row>
    <row r="108" spans="1:11" x14ac:dyDescent="0.25">
      <c r="A108" t="s">
        <v>182</v>
      </c>
      <c r="B108" s="20" t="str">
        <f>CONCATENATE(A108," US Equity")</f>
        <v>ABBV US Equity</v>
      </c>
      <c r="C108" t="s">
        <v>183</v>
      </c>
      <c r="E108" s="12">
        <v>1.2079717413108937</v>
      </c>
      <c r="F108" s="12">
        <v>2.8541038822903859</v>
      </c>
      <c r="G108" s="12">
        <v>3.4362882738334037</v>
      </c>
      <c r="H108" s="12">
        <v>9.5130237825594683</v>
      </c>
      <c r="I108" s="12">
        <v>9.7408738414980256</v>
      </c>
      <c r="J108" s="12">
        <v>50.330353672755543</v>
      </c>
      <c r="K108" s="12">
        <v>115.18776077885956</v>
      </c>
    </row>
    <row r="109" spans="1:11" x14ac:dyDescent="0.25">
      <c r="A109">
        <v>600519</v>
      </c>
      <c r="B109" s="20" t="str">
        <f>CONCATENATE(A109," CH Equity")</f>
        <v>600519 CH Equity</v>
      </c>
      <c r="C109" t="s">
        <v>184</v>
      </c>
      <c r="E109" s="12">
        <v>0.98948003867899725</v>
      </c>
      <c r="F109" s="12">
        <v>0.91870955512000696</v>
      </c>
      <c r="G109" s="12">
        <v>0.28411560702509886</v>
      </c>
      <c r="H109" s="12">
        <v>-3.4325765874362943</v>
      </c>
      <c r="I109" s="12">
        <v>-3.1546323955587341</v>
      </c>
      <c r="J109" s="12">
        <v>-21.219366228032683</v>
      </c>
      <c r="K109" s="12">
        <v>-30.023810235589771</v>
      </c>
    </row>
    <row r="110" spans="1:11" x14ac:dyDescent="0.25">
      <c r="E110" s="21"/>
      <c r="F110" s="21"/>
      <c r="G110" s="21"/>
      <c r="H110" s="21"/>
      <c r="I110" s="21"/>
      <c r="J110" s="21"/>
      <c r="K110" s="21"/>
    </row>
    <row r="113" spans="1:11" s="9" customFormat="1" x14ac:dyDescent="0.25">
      <c r="B113" s="7" t="s">
        <v>185</v>
      </c>
      <c r="C113" s="7" t="str">
        <f>_xll.BQL(_xll.BQL.LIST($B$114:$B$124), "name","showids=F","cols=1;rows=12")</f>
        <v>name</v>
      </c>
      <c r="D113" s="18"/>
    </row>
    <row r="114" spans="1:11" s="16" customFormat="1" x14ac:dyDescent="0.25">
      <c r="A114" t="s">
        <v>186</v>
      </c>
      <c r="B114" s="20" t="str">
        <f>CONCATENATE(A114," US Equity")</f>
        <v>RKLB US Equity</v>
      </c>
      <c r="C114" s="22" t="s">
        <v>187</v>
      </c>
      <c r="D114" s="17" t="s">
        <v>60</v>
      </c>
      <c r="E114" s="11">
        <f>_xll.BQL(_xll.BQL.LIST($B$114:$B$124), E$3, "showids=F", "showheaders=F","cols=1;rows=11")</f>
        <v>-9.066982497697067</v>
      </c>
      <c r="F114" s="11">
        <f>_xll.BQL(_xll.BQL.LIST($B$114:$B$124), F$3, "showids=F", "showheaders=F","cols=1;rows=11")</f>
        <v>-6.8105192178017679</v>
      </c>
      <c r="G114" s="11">
        <f>_xll.BQL(_xll.BQL.LIST($B$114:$B$124), G$3, "showids=F", "showheaders=F","cols=1;rows=11")</f>
        <v>64.916467780429585</v>
      </c>
      <c r="H114" s="11">
        <f>_xll.BQL(_xll.BQL.LIST($B$114:$B$124), H$3, "showids=F", "showheaders=F","cols=1;rows=11")</f>
        <v>40.133847089839769</v>
      </c>
      <c r="I114" s="11">
        <f>_xll.BQL(_xll.BQL.LIST($B$114:$B$124), I$3, "showids=F", "showheaders=F","cols=1;rows=11")</f>
        <v>270.3108252947481</v>
      </c>
      <c r="J114" s="11">
        <f>_xll.BQL(_xll.BQL.LIST($B$114:$B$124), J$3, "showids=F", "showheaders=F","cols=1;rows=11")</f>
        <v>1529.7169811320753</v>
      </c>
      <c r="K114" s="11">
        <f>_xll.BQL(_xll.BQL.LIST($B$114:$B$124), K$3, "showids=F", "showheaders=F","cols=1;rows=11")</f>
        <v>425.87519025875184</v>
      </c>
    </row>
    <row r="115" spans="1:11" s="16" customFormat="1" x14ac:dyDescent="0.25">
      <c r="A115" t="s">
        <v>188</v>
      </c>
      <c r="B115" s="20" t="str">
        <f>CONCATENATE(A115," US Equity")</f>
        <v>BA US Equity</v>
      </c>
      <c r="C115" s="22" t="s">
        <v>189</v>
      </c>
      <c r="D115" s="17" t="s">
        <v>60</v>
      </c>
      <c r="E115" s="11">
        <v>-0.10536945163981608</v>
      </c>
      <c r="F115" s="11">
        <v>-2.3560209424083807</v>
      </c>
      <c r="G115" s="11">
        <v>10.784886551757721</v>
      </c>
      <c r="H115" s="11">
        <v>-4.1494649928384844</v>
      </c>
      <c r="I115" s="11">
        <v>33.793955074679523</v>
      </c>
      <c r="J115" s="11">
        <v>8.3166714272112721</v>
      </c>
      <c r="K115" s="11">
        <v>1.9673747423142489</v>
      </c>
    </row>
    <row r="116" spans="1:11" ht="14.4" thickBot="1" x14ac:dyDescent="0.3">
      <c r="B116" s="23" t="s">
        <v>190</v>
      </c>
      <c r="C116" t="s">
        <v>191</v>
      </c>
      <c r="D116" s="10" t="s">
        <v>67</v>
      </c>
      <c r="E116" s="12">
        <v>-18.271178362921489</v>
      </c>
      <c r="F116" s="12">
        <v>-7.1534921494315062</v>
      </c>
      <c r="G116" s="12">
        <v>-19.626222977327316</v>
      </c>
      <c r="H116" s="12">
        <v>-12.667897383665419</v>
      </c>
      <c r="I116" s="12">
        <v>64.456964756653079</v>
      </c>
      <c r="J116" s="12">
        <v>1621.3299874529487</v>
      </c>
      <c r="K116" s="12">
        <v>460.41666666666663</v>
      </c>
    </row>
    <row r="117" spans="1:11" ht="14.4" thickBot="1" x14ac:dyDescent="0.3">
      <c r="B117" s="24" t="s">
        <v>192</v>
      </c>
      <c r="C117" t="s">
        <v>193</v>
      </c>
      <c r="D117" s="10" t="s">
        <v>67</v>
      </c>
      <c r="E117" s="12">
        <v>24.004534504747042</v>
      </c>
      <c r="F117" s="12">
        <v>26.697553206891538</v>
      </c>
      <c r="G117" s="12">
        <v>33.766432283705285</v>
      </c>
      <c r="H117" s="12">
        <v>51.558711465188765</v>
      </c>
      <c r="I117" s="12">
        <v>100.37398870401462</v>
      </c>
      <c r="J117" s="12">
        <v>505.60553633217989</v>
      </c>
      <c r="K117" s="12">
        <v>805.9006211180124</v>
      </c>
    </row>
    <row r="118" spans="1:11" ht="14.4" thickBot="1" x14ac:dyDescent="0.3">
      <c r="B118" s="24" t="s">
        <v>194</v>
      </c>
      <c r="C118" t="s">
        <v>195</v>
      </c>
      <c r="D118" s="10" t="s">
        <v>67</v>
      </c>
      <c r="E118" s="12">
        <v>24.81979817395483</v>
      </c>
      <c r="F118" s="12">
        <v>15.316315205327413</v>
      </c>
      <c r="G118" s="12">
        <v>34.550634550634548</v>
      </c>
      <c r="H118" s="12">
        <v>40.178089584457638</v>
      </c>
      <c r="I118" s="12">
        <v>144.93163602074492</v>
      </c>
      <c r="J118" s="12">
        <v>935.06674636381763</v>
      </c>
      <c r="K118" s="12">
        <v>1560.2748481943115</v>
      </c>
    </row>
    <row r="119" spans="1:11" ht="14.4" thickBot="1" x14ac:dyDescent="0.3">
      <c r="B119" s="24" t="s">
        <v>196</v>
      </c>
      <c r="C119" t="s">
        <v>197</v>
      </c>
      <c r="D119" s="10" t="s">
        <v>67</v>
      </c>
      <c r="E119" s="12">
        <v>64.0625</v>
      </c>
      <c r="F119" s="12">
        <v>40.589135424636574</v>
      </c>
      <c r="G119" s="12">
        <v>86.434659090909093</v>
      </c>
      <c r="H119" s="12">
        <v>108.00316957210777</v>
      </c>
      <c r="I119" s="12">
        <v>134.55450599948941</v>
      </c>
      <c r="J119" s="12">
        <v>511.48086522462563</v>
      </c>
      <c r="K119" s="12">
        <v>650.91949325704945</v>
      </c>
    </row>
    <row r="120" spans="1:11" ht="14.4" thickBot="1" x14ac:dyDescent="0.3">
      <c r="B120" s="24" t="s">
        <v>198</v>
      </c>
      <c r="C120" t="s">
        <v>199</v>
      </c>
      <c r="D120" s="10" t="s">
        <v>67</v>
      </c>
      <c r="E120" s="12">
        <v>35.042221955416821</v>
      </c>
      <c r="F120" s="12">
        <v>6.8120667278655249</v>
      </c>
      <c r="G120" s="12">
        <v>47.671772428884026</v>
      </c>
      <c r="H120" s="12">
        <v>72.114256567202233</v>
      </c>
      <c r="I120" s="12">
        <v>102.34468697529384</v>
      </c>
      <c r="J120" s="12">
        <v>230.91105227027558</v>
      </c>
      <c r="K120" s="12">
        <v>323.10971786833858</v>
      </c>
    </row>
    <row r="121" spans="1:11" ht="14.4" thickBot="1" x14ac:dyDescent="0.3">
      <c r="B121" s="24" t="s">
        <v>200</v>
      </c>
      <c r="C121" t="s">
        <v>201</v>
      </c>
      <c r="D121" s="10" t="s">
        <v>67</v>
      </c>
      <c r="E121" s="12">
        <v>25.231634679020516</v>
      </c>
      <c r="F121" s="12">
        <v>18.928403079662694</v>
      </c>
      <c r="G121" s="12">
        <v>32.944964871194365</v>
      </c>
      <c r="H121" s="12">
        <v>38.626373626373613</v>
      </c>
      <c r="I121" s="12">
        <v>100.20278610474342</v>
      </c>
      <c r="J121" s="12">
        <v>286.23915631910188</v>
      </c>
      <c r="K121" s="12">
        <v>474.56983805668011</v>
      </c>
    </row>
    <row r="122" spans="1:11" ht="14.4" thickBot="1" x14ac:dyDescent="0.3">
      <c r="B122" s="24" t="s">
        <v>202</v>
      </c>
      <c r="C122" t="s">
        <v>203</v>
      </c>
      <c r="D122" s="10" t="s">
        <v>67</v>
      </c>
      <c r="E122" s="12">
        <v>27.096497498213001</v>
      </c>
      <c r="F122" s="12">
        <v>5.7625505591244277</v>
      </c>
      <c r="G122" s="12">
        <v>44.700520833333336</v>
      </c>
      <c r="H122" s="12">
        <v>64.814059545437701</v>
      </c>
      <c r="I122" s="12">
        <v>157.42413713226776</v>
      </c>
      <c r="J122" s="12">
        <v>104.35821993379916</v>
      </c>
      <c r="K122" s="12">
        <v>147.46423203251126</v>
      </c>
    </row>
    <row r="123" spans="1:11" ht="14.4" thickBot="1" x14ac:dyDescent="0.3">
      <c r="B123" s="24" t="s">
        <v>204</v>
      </c>
      <c r="C123" t="s">
        <v>205</v>
      </c>
      <c r="D123" s="10" t="s">
        <v>67</v>
      </c>
      <c r="E123" s="12">
        <v>20.564516129032263</v>
      </c>
      <c r="F123" s="12">
        <v>13.604608407893117</v>
      </c>
      <c r="G123" s="12">
        <v>23.07794449608285</v>
      </c>
      <c r="H123" s="12">
        <v>43.194809207477206</v>
      </c>
      <c r="I123" s="12">
        <v>52.350427350427339</v>
      </c>
      <c r="J123" s="12">
        <v>24.986515641855451</v>
      </c>
      <c r="K123" s="12">
        <v>67.703998552560137</v>
      </c>
    </row>
    <row r="124" spans="1:11" ht="14.4" thickBot="1" x14ac:dyDescent="0.3">
      <c r="B124" s="24" t="s">
        <v>206</v>
      </c>
      <c r="C124" t="s">
        <v>207</v>
      </c>
      <c r="D124" s="10" t="s">
        <v>67</v>
      </c>
      <c r="E124" s="12">
        <v>24.416135881104026</v>
      </c>
      <c r="F124" s="12">
        <v>18.184873949579831</v>
      </c>
      <c r="G124" s="12">
        <v>29.767816400483145</v>
      </c>
      <c r="H124" s="12">
        <v>57.219512195121943</v>
      </c>
      <c r="I124" s="12">
        <v>109.81934573862094</v>
      </c>
      <c r="J124" s="12">
        <v>282.70334454779339</v>
      </c>
      <c r="K124" s="12">
        <v>229.97184540568213</v>
      </c>
    </row>
    <row r="128" spans="1:11" s="9" customFormat="1" x14ac:dyDescent="0.25">
      <c r="B128" s="7" t="s">
        <v>208</v>
      </c>
      <c r="C128" s="7" t="str">
        <f>_xll.BQL(_xll.BQL.LIST($B$129:$B$139), "name","showids=F","cols=1;rows=12")</f>
        <v>name</v>
      </c>
      <c r="D128" s="18" t="s">
        <v>8</v>
      </c>
    </row>
    <row r="129" spans="2:11" x14ac:dyDescent="0.25">
      <c r="B129" t="s">
        <v>209</v>
      </c>
      <c r="C129" t="s">
        <v>210</v>
      </c>
      <c r="E129" s="11">
        <f>_xll.BQL(_xll.BQL.LIST($B$129:$B$139), E$3, "showids=F", "showheaders=F","cols=1;rows=11")</f>
        <v>13.08411571467035</v>
      </c>
      <c r="F129" s="11">
        <f>_xll.BQL(_xll.BQL.LIST($B$129:$B$139), F$3, "showids=F", "showheaders=F","cols=1;rows=11")</f>
        <v>8.0357176916939945</v>
      </c>
      <c r="G129" s="11">
        <f>_xll.BQL(_xll.BQL.LIST($B$129:$B$139), G$3, "showids=F", "showheaders=F","cols=1;rows=11")</f>
        <v>13.08411571467035</v>
      </c>
      <c r="H129" s="11">
        <f>_xll.BQL(_xll.BQL.LIST($B$129:$B$139), H$3, "showids=F", "showheaders=F","cols=1;rows=11")</f>
        <v>24.10256801507412</v>
      </c>
      <c r="I129" s="11">
        <f>_xll.BQL(_xll.BQL.LIST($B$129:$B$139), I$3, "showids=F", "showheaders=F","cols=1;rows=11")</f>
        <v>24.10256801507412</v>
      </c>
      <c r="J129" s="11">
        <f>_xll.BQL(_xll.BQL.LIST($B$129:$B$139), J$3, "showids=F", "showheaders=F","cols=1;rows=11")</f>
        <v>24.10256801507412</v>
      </c>
      <c r="K129" s="11">
        <f>_xll.BQL(_xll.BQL.LIST($B$129:$B$139), K$3, "showids=F", "showheaders=F","cols=1;rows=11")</f>
        <v>24.10256801507412</v>
      </c>
    </row>
    <row r="130" spans="2:11" x14ac:dyDescent="0.25">
      <c r="B130" t="s">
        <v>211</v>
      </c>
      <c r="C130" t="s">
        <v>212</v>
      </c>
      <c r="E130" s="12">
        <v>-1.6216187863736586</v>
      </c>
      <c r="F130" s="12">
        <v>-4.2105235551532898</v>
      </c>
      <c r="G130" s="12">
        <v>-0.54644522119741357</v>
      </c>
      <c r="H130" s="12">
        <v>-2.1505348144039083</v>
      </c>
      <c r="I130" s="12">
        <v>-2.1505348144039083</v>
      </c>
      <c r="J130" s="12">
        <v>-2.1505348144039083</v>
      </c>
      <c r="K130" s="12">
        <v>-2.1505348144039083</v>
      </c>
    </row>
    <row r="131" spans="2:11" x14ac:dyDescent="0.25">
      <c r="B131" t="s">
        <v>213</v>
      </c>
      <c r="C131" t="s">
        <v>214</v>
      </c>
      <c r="E131" s="12">
        <v>26.174496324270365</v>
      </c>
      <c r="F131" s="12">
        <v>19.745222626218368</v>
      </c>
      <c r="G131" s="12">
        <v>27.891156138206018</v>
      </c>
      <c r="H131" s="12">
        <v>27.891156138206018</v>
      </c>
      <c r="I131" s="12">
        <v>27.891156138206018</v>
      </c>
      <c r="J131" s="12">
        <v>27.891156138206018</v>
      </c>
      <c r="K131" s="12">
        <v>27.891156138206018</v>
      </c>
    </row>
    <row r="132" spans="2:11" x14ac:dyDescent="0.25">
      <c r="B132" t="s">
        <v>215</v>
      </c>
      <c r="C132" t="s">
        <v>216</v>
      </c>
      <c r="E132" s="12">
        <v>-6.5573749646463062</v>
      </c>
      <c r="F132" s="12">
        <v>-3.9325821265745735</v>
      </c>
      <c r="G132" s="12">
        <v>-6.0439539479685322</v>
      </c>
      <c r="H132" s="12">
        <v>-10.937498013178503</v>
      </c>
      <c r="I132" s="12">
        <v>-10.937498013178503</v>
      </c>
      <c r="J132" s="12">
        <v>-10.937498013178503</v>
      </c>
      <c r="K132" s="12">
        <v>-10.937498013178503</v>
      </c>
    </row>
    <row r="133" spans="2:11" x14ac:dyDescent="0.25">
      <c r="B133" t="s">
        <v>217</v>
      </c>
      <c r="C133" t="s">
        <v>218</v>
      </c>
      <c r="E133" s="12">
        <v>0.61727924111449128</v>
      </c>
      <c r="F133" s="12">
        <v>-4.6806101462303234E-6</v>
      </c>
      <c r="G133" s="12">
        <v>-1.807233511683461</v>
      </c>
      <c r="H133" s="12">
        <v>-11.891896015888936</v>
      </c>
      <c r="I133" s="12">
        <v>-11.891896015888936</v>
      </c>
      <c r="J133" s="12">
        <v>-11.891896015888936</v>
      </c>
      <c r="K133" s="12">
        <v>-11.891896015888936</v>
      </c>
    </row>
    <row r="134" spans="2:11" x14ac:dyDescent="0.25">
      <c r="B134" t="s">
        <v>219</v>
      </c>
      <c r="C134" t="s">
        <v>220</v>
      </c>
      <c r="E134" s="12">
        <v>2.4691361949276955</v>
      </c>
      <c r="F134" s="12">
        <v>2.0491807187189846</v>
      </c>
      <c r="G134" s="12">
        <v>0.80971698529323755</v>
      </c>
      <c r="H134" s="12">
        <v>4.1841008174369465</v>
      </c>
      <c r="I134" s="12">
        <v>4.1841008174369465</v>
      </c>
      <c r="J134" s="12">
        <v>4.1841008174369465</v>
      </c>
      <c r="K134" s="12">
        <v>4.1841008174369465</v>
      </c>
    </row>
    <row r="135" spans="2:11" ht="14.4" thickBot="1" x14ac:dyDescent="0.3">
      <c r="B135" t="s">
        <v>221</v>
      </c>
      <c r="C135" t="s">
        <v>222</v>
      </c>
      <c r="E135" s="12">
        <v>-7.5581417527309656</v>
      </c>
      <c r="F135" s="12">
        <v>-5.3571451277959952</v>
      </c>
      <c r="G135" s="12">
        <v>-6.4705904792336861</v>
      </c>
      <c r="H135" s="12">
        <v>-7.5581417527309656</v>
      </c>
      <c r="I135" s="12">
        <v>-7.5581417527309656</v>
      </c>
      <c r="J135" s="12">
        <v>-7.5581417527309656</v>
      </c>
      <c r="K135" s="12">
        <v>-7.5581417527309656</v>
      </c>
    </row>
    <row r="136" spans="2:11" ht="14.4" thickBot="1" x14ac:dyDescent="0.3">
      <c r="B136" s="24" t="s">
        <v>223</v>
      </c>
      <c r="C136" t="s">
        <v>224</v>
      </c>
      <c r="D136" s="10" t="s">
        <v>67</v>
      </c>
      <c r="E136" s="12">
        <v>4.0394088669950801</v>
      </c>
      <c r="F136" s="12">
        <v>1.1563462196373573</v>
      </c>
      <c r="G136" s="12">
        <v>5.2391799544419237</v>
      </c>
      <c r="H136" s="12">
        <v>11.316918906708832</v>
      </c>
      <c r="I136" s="12">
        <v>23.933271858496099</v>
      </c>
      <c r="J136" s="12">
        <v>63.395225464190972</v>
      </c>
      <c r="K136" s="12">
        <v>53.265602322206107</v>
      </c>
    </row>
    <row r="137" spans="2:11" ht="14.4" thickBot="1" x14ac:dyDescent="0.3">
      <c r="B137" s="24" t="s">
        <v>225</v>
      </c>
      <c r="C137" t="s">
        <v>226</v>
      </c>
      <c r="D137" s="10" t="s">
        <v>67</v>
      </c>
      <c r="E137" s="12">
        <v>48.082567012326358</v>
      </c>
      <c r="F137" s="12">
        <v>25.171586868436279</v>
      </c>
      <c r="G137" s="12">
        <v>64.407516020419266</v>
      </c>
      <c r="H137" s="12">
        <v>110.46996662958844</v>
      </c>
      <c r="I137" s="12">
        <v>178.66347569955818</v>
      </c>
      <c r="J137" s="12">
        <v>155.00336927223722</v>
      </c>
      <c r="K137" s="12">
        <v>69.26087442692608</v>
      </c>
    </row>
    <row r="138" spans="2:11" ht="14.4" thickBot="1" x14ac:dyDescent="0.3">
      <c r="B138" s="24" t="s">
        <v>227</v>
      </c>
      <c r="C138" t="s">
        <v>228</v>
      </c>
      <c r="D138" s="10" t="s">
        <v>67</v>
      </c>
      <c r="E138" s="12">
        <v>16.828778755596737</v>
      </c>
      <c r="F138" s="12">
        <v>9.7621119814331365</v>
      </c>
      <c r="G138" s="12">
        <v>17.081850533807842</v>
      </c>
      <c r="H138" s="12">
        <v>30.353143841515944</v>
      </c>
      <c r="I138" s="12">
        <v>50.587064676616919</v>
      </c>
      <c r="J138" s="12">
        <v>70.427927927927939</v>
      </c>
      <c r="K138" s="12">
        <v>28.668593776568606</v>
      </c>
    </row>
    <row r="139" spans="2:11" ht="14.4" thickBot="1" x14ac:dyDescent="0.3">
      <c r="B139" s="24" t="s">
        <v>229</v>
      </c>
      <c r="C139" t="s">
        <v>230</v>
      </c>
      <c r="D139" s="10" t="s">
        <v>67</v>
      </c>
      <c r="E139" s="12">
        <v>6.2791662345742942</v>
      </c>
      <c r="F139" s="12">
        <v>2.9482672024108512</v>
      </c>
      <c r="G139" s="12">
        <v>7.8562407914123371</v>
      </c>
      <c r="H139" s="12">
        <v>9.5334793993480496</v>
      </c>
      <c r="I139" s="12">
        <v>14.983731627959166</v>
      </c>
      <c r="J139" s="12">
        <v>38.981556821263908</v>
      </c>
      <c r="K139" s="12">
        <v>50.095196250732279</v>
      </c>
    </row>
  </sheetData>
  <mergeCells count="2">
    <mergeCell ref="D1:I1"/>
    <mergeCell ref="K1:O1"/>
  </mergeCells>
  <conditionalFormatting sqref="E136:K136 D52 D1:D3 D79 C67:C78 D98 D111:D112 D62:D65 D127 D141:D1048576 D56 E62:M62">
    <cfRule type="duplicateValues" dxfId="4" priority="85"/>
  </conditionalFormatting>
  <conditionalFormatting sqref="B5:B20">
    <cfRule type="duplicateValues" dxfId="3" priority="86"/>
    <cfRule type="duplicateValues" priority="87"/>
  </conditionalFormatting>
  <conditionalFormatting sqref="E5:K36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{523D99F7-B753-45EC-BB72-236871519F0E}</x14:id>
        </ext>
      </extLst>
    </cfRule>
  </conditionalFormatting>
  <conditionalFormatting sqref="E40:K55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{37862220-A293-4131-B967-A6643A61A859}</x14:id>
        </ext>
      </extLst>
    </cfRule>
  </conditionalFormatting>
  <conditionalFormatting sqref="E81:K97"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{7D23DF51-7077-498C-AE1F-961DBFC4AD6F}</x14:id>
        </ext>
      </extLst>
    </cfRule>
  </conditionalFormatting>
  <conditionalFormatting sqref="E100:K106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{44BCCAA9-AB5E-4129-AC7C-A2D4CC433D3F}</x14:id>
        </ext>
      </extLst>
    </cfRule>
  </conditionalFormatting>
  <conditionalFormatting sqref="E107:K110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{CF82D17E-2C27-4B90-A3CA-63B28A55F0A0}</x14:id>
        </ext>
      </extLst>
    </cfRule>
  </conditionalFormatting>
  <conditionalFormatting sqref="E129:K138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{39DE1F70-E124-4432-8985-21DCFF7A8E3F}</x14:id>
        </ext>
      </extLst>
    </cfRule>
  </conditionalFormatting>
  <conditionalFormatting sqref="E136:K136"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{9BB8BC17-0DAA-4EDC-8818-E2D0EDB84B7B}</x14:id>
        </ext>
      </extLst>
    </cfRule>
  </conditionalFormatting>
  <conditionalFormatting sqref="E5:E36 F5:K5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{9964ACFF-4D56-4F62-BE8F-496870FB5F0A}</x14:id>
        </ext>
      </extLst>
    </cfRule>
  </conditionalFormatting>
  <conditionalFormatting sqref="F5:F36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{2C47BA3A-ABF4-4718-9F7E-FC4C90BA3823}</x14:id>
        </ext>
      </extLst>
    </cfRule>
  </conditionalFormatting>
  <conditionalFormatting sqref="G5:G36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{CDC0D18B-47F5-45C3-B835-F6ADB553D1CD}</x14:id>
        </ext>
      </extLst>
    </cfRule>
  </conditionalFormatting>
  <conditionalFormatting sqref="H5:H36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{AB6EB6ED-FC50-4B38-8ADE-4F3A5139E13F}</x14:id>
        </ext>
      </extLst>
    </cfRule>
  </conditionalFormatting>
  <conditionalFormatting sqref="I5:I36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{885764C3-2C02-46C8-B7B1-C52C52D572C2}</x14:id>
        </ext>
      </extLst>
    </cfRule>
  </conditionalFormatting>
  <conditionalFormatting sqref="J5:J36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{1883FEF7-44D5-49FB-A779-AE006673D59C}</x14:id>
        </ext>
      </extLst>
    </cfRule>
  </conditionalFormatting>
  <conditionalFormatting sqref="K5:K36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{E1F6961D-4E7A-498A-882C-8DAC2C6A3CAC}</x14:id>
        </ext>
      </extLst>
    </cfRule>
  </conditionalFormatting>
  <conditionalFormatting sqref="E40:E55 F40:K40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{BE398B35-A40D-43A1-B2AA-F46F8F073307}</x14:id>
        </ext>
      </extLst>
    </cfRule>
  </conditionalFormatting>
  <conditionalFormatting sqref="F40:F55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{6AD521EC-EBE3-4530-A8D2-79D14A8E4F0A}</x14:id>
        </ext>
      </extLst>
    </cfRule>
  </conditionalFormatting>
  <conditionalFormatting sqref="G40:G55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{A438C9FE-9089-4229-A54E-259D3F330F47}</x14:id>
        </ext>
      </extLst>
    </cfRule>
  </conditionalFormatting>
  <conditionalFormatting sqref="H40:H55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{AC72C20C-3026-439D-A6AD-5EFD53673102}</x14:id>
        </ext>
      </extLst>
    </cfRule>
  </conditionalFormatting>
  <conditionalFormatting sqref="I40:I55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{AAE6B64A-92E8-466D-ACA7-1566AED83BAF}</x14:id>
        </ext>
      </extLst>
    </cfRule>
  </conditionalFormatting>
  <conditionalFormatting sqref="J40:J55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{41F4BFF9-2A77-4E8F-8143-ABADC26F4F88}</x14:id>
        </ext>
      </extLst>
    </cfRule>
  </conditionalFormatting>
  <conditionalFormatting sqref="K40:K55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{D123519B-26F1-4AEF-AA6F-54D5D1DB6D52}</x14:id>
        </ext>
      </extLst>
    </cfRule>
  </conditionalFormatting>
  <conditionalFormatting sqref="E5:E36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{85B3AC7D-A877-452E-A4BC-6DCA9202A3B6}</x14:id>
        </ext>
      </extLst>
    </cfRule>
  </conditionalFormatting>
  <conditionalFormatting sqref="D92">
    <cfRule type="duplicateValues" dxfId="2" priority="62"/>
  </conditionalFormatting>
  <conditionalFormatting sqref="D106">
    <cfRule type="duplicateValues" dxfId="1" priority="61"/>
  </conditionalFormatting>
  <conditionalFormatting sqref="D131 D134">
    <cfRule type="duplicateValues" dxfId="0" priority="60"/>
  </conditionalFormatting>
  <conditionalFormatting sqref="E61:K62 F58:K60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{756DDBB0-0517-4CF7-A933-A69893B4AA65}</x14:id>
        </ext>
      </extLst>
    </cfRule>
  </conditionalFormatting>
  <conditionalFormatting sqref="E61:E62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{F82C0584-2EFB-40AF-9EB1-7D663F8CDADD}</x14:id>
        </ext>
      </extLst>
    </cfRule>
  </conditionalFormatting>
  <conditionalFormatting sqref="F58:F62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{699E196F-4D4F-4DBD-AAB5-D537FC2214CC}</x14:id>
        </ext>
      </extLst>
    </cfRule>
  </conditionalFormatting>
  <conditionalFormatting sqref="G58:G62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{2DC0A54C-1A03-4B6D-95B0-5598C02E9A5F}</x14:id>
        </ext>
      </extLst>
    </cfRule>
  </conditionalFormatting>
  <conditionalFormatting sqref="H58:H62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{B1E4660C-57AA-412C-BED1-530AC5AEC54D}</x14:id>
        </ext>
      </extLst>
    </cfRule>
  </conditionalFormatting>
  <conditionalFormatting sqref="I58:I62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{158614D6-E188-48B0-A7D9-AD88C98743F1}</x14:id>
        </ext>
      </extLst>
    </cfRule>
  </conditionalFormatting>
  <conditionalFormatting sqref="J58:J62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{7113C14B-1323-48DB-981E-2E7CF7C81D8E}</x14:id>
        </ext>
      </extLst>
    </cfRule>
  </conditionalFormatting>
  <conditionalFormatting sqref="K58:K62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{5D699C62-4459-450E-9EAC-6B78308E08BA}</x14:id>
        </ext>
      </extLst>
    </cfRule>
  </conditionalFormatting>
  <conditionalFormatting sqref="E114:E11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{EBF471A7-B44D-4D79-8DE0-CB88E9C6BBF4}</x14:id>
        </ext>
      </extLst>
    </cfRule>
  </conditionalFormatting>
  <conditionalFormatting sqref="E67:K78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{59D30F41-07CA-4F57-94E1-82129970C5DD}</x14:id>
        </ext>
      </extLst>
    </cfRule>
  </conditionalFormatting>
  <conditionalFormatting sqref="E67:E76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{F35031EF-E678-4BF5-B766-4AE133A52BFC}</x14:id>
        </ext>
      </extLst>
    </cfRule>
  </conditionalFormatting>
  <conditionalFormatting sqref="F67:F76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{BE33442E-0296-4DD6-AAE4-826D13E18165}</x14:id>
        </ext>
      </extLst>
    </cfRule>
  </conditionalFormatting>
  <conditionalFormatting sqref="G67:G76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{56805CB6-D85C-41E3-BF87-84BA0BDF8717}</x14:id>
        </ext>
      </extLst>
    </cfRule>
  </conditionalFormatting>
  <conditionalFormatting sqref="H67:H76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{886D50A8-722D-451E-9C9D-A61F1B5A4B05}</x14:id>
        </ext>
      </extLst>
    </cfRule>
  </conditionalFormatting>
  <conditionalFormatting sqref="I67:I76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{F3029423-14AF-4B5E-AD1E-52475DEC5072}</x14:id>
        </ext>
      </extLst>
    </cfRule>
  </conditionalFormatting>
  <conditionalFormatting sqref="J67:J76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{4C14EB72-1C84-4257-8902-D5D46909FD1D}</x14:id>
        </ext>
      </extLst>
    </cfRule>
  </conditionalFormatting>
  <conditionalFormatting sqref="K67:K76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{0B9C682C-41AC-4E1A-8CCA-85E03D4E4286}</x14:id>
        </ext>
      </extLst>
    </cfRule>
  </conditionalFormatting>
  <conditionalFormatting sqref="E129:E138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{2832DBEE-8853-4D30-A8E0-70DC5F0383DC}</x14:id>
        </ext>
      </extLst>
    </cfRule>
  </conditionalFormatting>
  <conditionalFormatting sqref="F129:F138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{E68F6144-DAFA-4B65-B6FC-1A6AFFC371D4}</x14:id>
        </ext>
      </extLst>
    </cfRule>
  </conditionalFormatting>
  <conditionalFormatting sqref="G129:G138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{955B3EAE-D23E-4156-86CF-2A059B5575A1}</x14:id>
        </ext>
      </extLst>
    </cfRule>
  </conditionalFormatting>
  <conditionalFormatting sqref="H129:H138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{E70860B2-3DE2-4247-9370-0ECEBD4989F4}</x14:id>
        </ext>
      </extLst>
    </cfRule>
  </conditionalFormatting>
  <conditionalFormatting sqref="I129:I138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{6A0564D3-44A3-4F79-88B7-7EA743FBB64C}</x14:id>
        </ext>
      </extLst>
    </cfRule>
  </conditionalFormatting>
  <conditionalFormatting sqref="J129:J138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{B5743E00-D7F6-4DD3-A980-77B7B7751575}</x14:id>
        </ext>
      </extLst>
    </cfRule>
  </conditionalFormatting>
  <conditionalFormatting sqref="K129:K138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{9AD1D8DD-2A44-4DC4-98A6-7E1AB5AB1977}</x14:id>
        </ext>
      </extLst>
    </cfRule>
  </conditionalFormatting>
  <conditionalFormatting sqref="E129:E139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{F5C0739F-673E-43A0-AF83-2B45C4270545}</x14:id>
        </ext>
      </extLst>
    </cfRule>
  </conditionalFormatting>
  <conditionalFormatting sqref="F129:F139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{43C27F37-DF87-4860-939B-D62335CF50F3}</x14:id>
        </ext>
      </extLst>
    </cfRule>
  </conditionalFormatting>
  <conditionalFormatting sqref="G129:G139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{41350630-8061-48ED-905A-578E2DFEE570}</x14:id>
        </ext>
      </extLst>
    </cfRule>
  </conditionalFormatting>
  <conditionalFormatting sqref="H129:H139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{8976C83F-F4C8-49D7-8A04-16C7A6597637}</x14:id>
        </ext>
      </extLst>
    </cfRule>
  </conditionalFormatting>
  <conditionalFormatting sqref="I129:I139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{C8BE7CED-3129-4A11-B47D-61182C3E8436}</x14:id>
        </ext>
      </extLst>
    </cfRule>
  </conditionalFormatting>
  <conditionalFormatting sqref="J129:J139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{19A04FB5-8570-4A3A-8BA3-E96CF82DA667}</x14:id>
        </ext>
      </extLst>
    </cfRule>
  </conditionalFormatting>
  <conditionalFormatting sqref="K129:K13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{9EF29295-A261-4551-B0EC-5A4AB2EE3D2C}</x14:id>
        </ext>
      </extLst>
    </cfRule>
  </conditionalFormatting>
  <conditionalFormatting sqref="E58:K60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{DA736BAB-AAE6-4396-B266-50D700AD1B5D}</x14:id>
        </ext>
      </extLst>
    </cfRule>
  </conditionalFormatting>
  <conditionalFormatting sqref="E58:K60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{C045A656-6F8F-424C-AB42-F9C63A07134F}</x14:id>
        </ext>
      </extLst>
    </cfRule>
  </conditionalFormatting>
  <conditionalFormatting sqref="E117:E124 E114:E115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{AC81F711-4BCA-473D-A63F-97F1F6667120}</x14:id>
        </ext>
      </extLst>
    </cfRule>
  </conditionalFormatting>
  <conditionalFormatting sqref="E114:E12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{E55970E2-6306-4E1F-9BA4-AC62FDBEDE6D}</x14:id>
        </ext>
      </extLst>
    </cfRule>
  </conditionalFormatting>
  <conditionalFormatting sqref="F114:F115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{0F96B9A9-21B6-4909-824B-C88C0712E6C2}</x14:id>
        </ext>
      </extLst>
    </cfRule>
  </conditionalFormatting>
  <conditionalFormatting sqref="F117:F124 F114:F11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{E2CDF33C-6D8C-4C72-9C49-41D42340305A}</x14:id>
        </ext>
      </extLst>
    </cfRule>
  </conditionalFormatting>
  <conditionalFormatting sqref="F114:F12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{04231FCD-BBF5-4585-BB96-B1EBBD313780}</x14:id>
        </ext>
      </extLst>
    </cfRule>
  </conditionalFormatting>
  <conditionalFormatting sqref="G114:G1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{D858BE3C-05BE-43A8-B655-192DCBB2ECA0}</x14:id>
        </ext>
      </extLst>
    </cfRule>
  </conditionalFormatting>
  <conditionalFormatting sqref="G117:G124 G114:G11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{20C1D45B-3C60-4B85-9CDB-661A477A7AEC}</x14:id>
        </ext>
      </extLst>
    </cfRule>
  </conditionalFormatting>
  <conditionalFormatting sqref="G114:G124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{77D0702C-7522-4CB7-8A40-89E7E9F52698}</x14:id>
        </ext>
      </extLst>
    </cfRule>
  </conditionalFormatting>
  <conditionalFormatting sqref="H114:H11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{98ABE12C-9BBE-4559-9129-9343ACE7C476}</x14:id>
        </ext>
      </extLst>
    </cfRule>
  </conditionalFormatting>
  <conditionalFormatting sqref="H117:H124 H114:H115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{8847A9A4-0ADB-4491-9F73-7057AFBA6E55}</x14:id>
        </ext>
      </extLst>
    </cfRule>
  </conditionalFormatting>
  <conditionalFormatting sqref="H114:H124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{2F7FB6C0-6E72-415E-89C8-CF8094A65957}</x14:id>
        </ext>
      </extLst>
    </cfRule>
  </conditionalFormatting>
  <conditionalFormatting sqref="I114:I11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{40228DAA-4DAE-4E56-8E92-F75A51482075}</x14:id>
        </ext>
      </extLst>
    </cfRule>
  </conditionalFormatting>
  <conditionalFormatting sqref="I117:I124 I114:I11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{77FFE965-31B5-4DF1-B30E-28D1D4359AC1}</x14:id>
        </ext>
      </extLst>
    </cfRule>
  </conditionalFormatting>
  <conditionalFormatting sqref="I114:I1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{738571AD-7533-43DE-A997-DE30DC66D0C4}</x14:id>
        </ext>
      </extLst>
    </cfRule>
  </conditionalFormatting>
  <conditionalFormatting sqref="J114:J11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{2BD72946-09F3-437E-8F64-967C88CDEDDF}</x14:id>
        </ext>
      </extLst>
    </cfRule>
  </conditionalFormatting>
  <conditionalFormatting sqref="J117:J124 J114:J11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{8CA88966-5083-49DD-A127-76C5925827BC}</x14:id>
        </ext>
      </extLst>
    </cfRule>
  </conditionalFormatting>
  <conditionalFormatting sqref="J114:J12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{5636DC71-D37E-42CC-BD11-2F286CCCFF4C}</x14:id>
        </ext>
      </extLst>
    </cfRule>
  </conditionalFormatting>
  <conditionalFormatting sqref="K114:K115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{431F77A2-7707-438D-BA00-60CED7F17108}</x14:id>
        </ext>
      </extLst>
    </cfRule>
  </conditionalFormatting>
  <conditionalFormatting sqref="K117:K124 K114:K11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{DB80626B-DEDB-446D-A503-1226B281A346}</x14:id>
        </ext>
      </extLst>
    </cfRule>
  </conditionalFormatting>
  <conditionalFormatting sqref="K114:K12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{D8CA5435-14D4-4135-985C-E1EB8F9E1FDB}</x14:id>
        </ext>
      </extLst>
    </cfRule>
  </conditionalFormatting>
  <conditionalFormatting sqref="E6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{A392DB0E-4500-47B5-9738-238EA48DB129}</x14:id>
        </ext>
      </extLst>
    </cfRule>
  </conditionalFormatting>
  <conditionalFormatting sqref="E81:E9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{BB16D3F3-D3DA-46D9-A025-7AE11532D6F6}</x14:id>
        </ext>
      </extLst>
    </cfRule>
  </conditionalFormatting>
  <conditionalFormatting sqref="F81:F9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{4225F3C4-964E-4E00-8F6D-FD415937F1C1}</x14:id>
        </ext>
      </extLst>
    </cfRule>
  </conditionalFormatting>
  <conditionalFormatting sqref="G81:G9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{CFA36923-9522-4E2F-8EDA-7929505F1AE0}</x14:id>
        </ext>
      </extLst>
    </cfRule>
  </conditionalFormatting>
  <conditionalFormatting sqref="H81:H97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{3C41AAA6-A7A9-49C6-ABF6-D89C05A9A9D9}</x14:id>
        </ext>
      </extLst>
    </cfRule>
  </conditionalFormatting>
  <conditionalFormatting sqref="I81:I9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{48E142A2-1D96-4855-A670-5497404B727A}</x14:id>
        </ext>
      </extLst>
    </cfRule>
  </conditionalFormatting>
  <conditionalFormatting sqref="J81:J9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{B126935F-1C72-4DB3-9F3D-00D50B83A281}</x14:id>
        </ext>
      </extLst>
    </cfRule>
  </conditionalFormatting>
  <conditionalFormatting sqref="K81:K9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{F3A14A58-DB73-4AC3-930F-7F6187BE912F}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3D99F7-B753-45EC-BB72-236871519F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E5:K36</xm:sqref>
        </x14:conditionalFormatting>
        <x14:conditionalFormatting xmlns:xm="http://schemas.microsoft.com/office/excel/2006/main">
          <x14:cfRule type="dataBar" id="{37862220-A293-4131-B967-A6643A61A8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E40:K55</xm:sqref>
        </x14:conditionalFormatting>
        <x14:conditionalFormatting xmlns:xm="http://schemas.microsoft.com/office/excel/2006/main">
          <x14:cfRule type="dataBar" id="{7D23DF51-7077-498C-AE1F-961DBFC4AD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E81:K97</xm:sqref>
        </x14:conditionalFormatting>
        <x14:conditionalFormatting xmlns:xm="http://schemas.microsoft.com/office/excel/2006/main">
          <x14:cfRule type="dataBar" id="{44BCCAA9-AB5E-4129-AC7C-A2D4CC433D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E100:K106</xm:sqref>
        </x14:conditionalFormatting>
        <x14:conditionalFormatting xmlns:xm="http://schemas.microsoft.com/office/excel/2006/main">
          <x14:cfRule type="dataBar" id="{CF82D17E-2C27-4B90-A3CA-63B28A55F0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E107:K110</xm:sqref>
        </x14:conditionalFormatting>
        <x14:conditionalFormatting xmlns:xm="http://schemas.microsoft.com/office/excel/2006/main">
          <x14:cfRule type="dataBar" id="{39DE1F70-E124-4432-8985-21DCFF7A8E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E129:K138</xm:sqref>
        </x14:conditionalFormatting>
        <x14:conditionalFormatting xmlns:xm="http://schemas.microsoft.com/office/excel/2006/main">
          <x14:cfRule type="dataBar" id="{9BB8BC17-0DAA-4EDC-8818-E2D0EDB84B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E136:K136</xm:sqref>
        </x14:conditionalFormatting>
        <x14:conditionalFormatting xmlns:xm="http://schemas.microsoft.com/office/excel/2006/main">
          <x14:cfRule type="dataBar" id="{9964ACFF-4D56-4F62-BE8F-496870FB5F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E5:E36 F5:K5</xm:sqref>
        </x14:conditionalFormatting>
        <x14:conditionalFormatting xmlns:xm="http://schemas.microsoft.com/office/excel/2006/main">
          <x14:cfRule type="dataBar" id="{2C47BA3A-ABF4-4718-9F7E-FC4C90BA38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F5:F36</xm:sqref>
        </x14:conditionalFormatting>
        <x14:conditionalFormatting xmlns:xm="http://schemas.microsoft.com/office/excel/2006/main">
          <x14:cfRule type="dataBar" id="{CDC0D18B-47F5-45C3-B835-F6ADB553D1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G5:G36</xm:sqref>
        </x14:conditionalFormatting>
        <x14:conditionalFormatting xmlns:xm="http://schemas.microsoft.com/office/excel/2006/main">
          <x14:cfRule type="dataBar" id="{AB6EB6ED-FC50-4B38-8ADE-4F3A5139E1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H5:H36</xm:sqref>
        </x14:conditionalFormatting>
        <x14:conditionalFormatting xmlns:xm="http://schemas.microsoft.com/office/excel/2006/main">
          <x14:cfRule type="dataBar" id="{885764C3-2C02-46C8-B7B1-C52C52D572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I5:I36</xm:sqref>
        </x14:conditionalFormatting>
        <x14:conditionalFormatting xmlns:xm="http://schemas.microsoft.com/office/excel/2006/main">
          <x14:cfRule type="dataBar" id="{1883FEF7-44D5-49FB-A779-AE006673D5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J5:J36</xm:sqref>
        </x14:conditionalFormatting>
        <x14:conditionalFormatting xmlns:xm="http://schemas.microsoft.com/office/excel/2006/main">
          <x14:cfRule type="dataBar" id="{E1F6961D-4E7A-498A-882C-8DAC2C6A3C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K5:K36</xm:sqref>
        </x14:conditionalFormatting>
        <x14:conditionalFormatting xmlns:xm="http://schemas.microsoft.com/office/excel/2006/main">
          <x14:cfRule type="dataBar" id="{BE398B35-A40D-43A1-B2AA-F46F8F0733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E40:E55 F40:K40</xm:sqref>
        </x14:conditionalFormatting>
        <x14:conditionalFormatting xmlns:xm="http://schemas.microsoft.com/office/excel/2006/main">
          <x14:cfRule type="dataBar" id="{6AD521EC-EBE3-4530-A8D2-79D14A8E4F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F40:F55</xm:sqref>
        </x14:conditionalFormatting>
        <x14:conditionalFormatting xmlns:xm="http://schemas.microsoft.com/office/excel/2006/main">
          <x14:cfRule type="dataBar" id="{A438C9FE-9089-4229-A54E-259D3F330F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G40:G55</xm:sqref>
        </x14:conditionalFormatting>
        <x14:conditionalFormatting xmlns:xm="http://schemas.microsoft.com/office/excel/2006/main">
          <x14:cfRule type="dataBar" id="{AC72C20C-3026-439D-A6AD-5EFD536731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H40:H55</xm:sqref>
        </x14:conditionalFormatting>
        <x14:conditionalFormatting xmlns:xm="http://schemas.microsoft.com/office/excel/2006/main">
          <x14:cfRule type="dataBar" id="{AAE6B64A-92E8-466D-ACA7-1566AED83B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I40:I55</xm:sqref>
        </x14:conditionalFormatting>
        <x14:conditionalFormatting xmlns:xm="http://schemas.microsoft.com/office/excel/2006/main">
          <x14:cfRule type="dataBar" id="{41F4BFF9-2A77-4E8F-8143-ABADC26F4F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J40:J55</xm:sqref>
        </x14:conditionalFormatting>
        <x14:conditionalFormatting xmlns:xm="http://schemas.microsoft.com/office/excel/2006/main">
          <x14:cfRule type="dataBar" id="{D123519B-26F1-4AEF-AA6F-54D5D1DB6D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K40:K55</xm:sqref>
        </x14:conditionalFormatting>
        <x14:conditionalFormatting xmlns:xm="http://schemas.microsoft.com/office/excel/2006/main">
          <x14:cfRule type="dataBar" id="{85B3AC7D-A877-452E-A4BC-6DCA9202A3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E5:E36</xm:sqref>
        </x14:conditionalFormatting>
        <x14:conditionalFormatting xmlns:xm="http://schemas.microsoft.com/office/excel/2006/main">
          <x14:cfRule type="dataBar" id="{756DDBB0-0517-4CF7-A933-A69893B4AA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E61:K62 F58:K60</xm:sqref>
        </x14:conditionalFormatting>
        <x14:conditionalFormatting xmlns:xm="http://schemas.microsoft.com/office/excel/2006/main">
          <x14:cfRule type="dataBar" id="{F82C0584-2EFB-40AF-9EB1-7D663F8CDA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E61:E62</xm:sqref>
        </x14:conditionalFormatting>
        <x14:conditionalFormatting xmlns:xm="http://schemas.microsoft.com/office/excel/2006/main">
          <x14:cfRule type="dataBar" id="{699E196F-4D4F-4DBD-AAB5-D537FC2214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F58:F62</xm:sqref>
        </x14:conditionalFormatting>
        <x14:conditionalFormatting xmlns:xm="http://schemas.microsoft.com/office/excel/2006/main">
          <x14:cfRule type="dataBar" id="{2DC0A54C-1A03-4B6D-95B0-5598C02E9A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G58:G62</xm:sqref>
        </x14:conditionalFormatting>
        <x14:conditionalFormatting xmlns:xm="http://schemas.microsoft.com/office/excel/2006/main">
          <x14:cfRule type="dataBar" id="{B1E4660C-57AA-412C-BED1-530AC5AEC5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H58:H62</xm:sqref>
        </x14:conditionalFormatting>
        <x14:conditionalFormatting xmlns:xm="http://schemas.microsoft.com/office/excel/2006/main">
          <x14:cfRule type="dataBar" id="{158614D6-E188-48B0-A7D9-AD88C98743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I58:I62</xm:sqref>
        </x14:conditionalFormatting>
        <x14:conditionalFormatting xmlns:xm="http://schemas.microsoft.com/office/excel/2006/main">
          <x14:cfRule type="dataBar" id="{7113C14B-1323-48DB-981E-2E7CF7C81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J58:J62</xm:sqref>
        </x14:conditionalFormatting>
        <x14:conditionalFormatting xmlns:xm="http://schemas.microsoft.com/office/excel/2006/main">
          <x14:cfRule type="dataBar" id="{5D699C62-4459-450E-9EAC-6B78308E08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K58:K62</xm:sqref>
        </x14:conditionalFormatting>
        <x14:conditionalFormatting xmlns:xm="http://schemas.microsoft.com/office/excel/2006/main">
          <x14:cfRule type="dataBar" id="{EBF471A7-B44D-4D79-8DE0-CB88E9C6BB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E114:E115</xm:sqref>
        </x14:conditionalFormatting>
        <x14:conditionalFormatting xmlns:xm="http://schemas.microsoft.com/office/excel/2006/main">
          <x14:cfRule type="dataBar" id="{59D30F41-07CA-4F57-94E1-82129970C5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E67:K78</xm:sqref>
        </x14:conditionalFormatting>
        <x14:conditionalFormatting xmlns:xm="http://schemas.microsoft.com/office/excel/2006/main">
          <x14:cfRule type="dataBar" id="{F35031EF-E678-4BF5-B766-4AE133A52B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E67:E76</xm:sqref>
        </x14:conditionalFormatting>
        <x14:conditionalFormatting xmlns:xm="http://schemas.microsoft.com/office/excel/2006/main">
          <x14:cfRule type="dataBar" id="{BE33442E-0296-4DD6-AAE4-826D13E181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F67:F76</xm:sqref>
        </x14:conditionalFormatting>
        <x14:conditionalFormatting xmlns:xm="http://schemas.microsoft.com/office/excel/2006/main">
          <x14:cfRule type="dataBar" id="{56805CB6-D85C-41E3-BF87-84BA0BDF87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G67:G76</xm:sqref>
        </x14:conditionalFormatting>
        <x14:conditionalFormatting xmlns:xm="http://schemas.microsoft.com/office/excel/2006/main">
          <x14:cfRule type="dataBar" id="{886D50A8-722D-451E-9C9D-A61F1B5A4B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H67:H76</xm:sqref>
        </x14:conditionalFormatting>
        <x14:conditionalFormatting xmlns:xm="http://schemas.microsoft.com/office/excel/2006/main">
          <x14:cfRule type="dataBar" id="{F3029423-14AF-4B5E-AD1E-52475DEC50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I67:I76</xm:sqref>
        </x14:conditionalFormatting>
        <x14:conditionalFormatting xmlns:xm="http://schemas.microsoft.com/office/excel/2006/main">
          <x14:cfRule type="dataBar" id="{4C14EB72-1C84-4257-8902-D5D46909FD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J67:J76</xm:sqref>
        </x14:conditionalFormatting>
        <x14:conditionalFormatting xmlns:xm="http://schemas.microsoft.com/office/excel/2006/main">
          <x14:cfRule type="dataBar" id="{0B9C682C-41AC-4E1A-8CCA-85E03D4E42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K67:K76</xm:sqref>
        </x14:conditionalFormatting>
        <x14:conditionalFormatting xmlns:xm="http://schemas.microsoft.com/office/excel/2006/main">
          <x14:cfRule type="dataBar" id="{2832DBEE-8853-4D30-A8E0-70DC5F0383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E129:E138</xm:sqref>
        </x14:conditionalFormatting>
        <x14:conditionalFormatting xmlns:xm="http://schemas.microsoft.com/office/excel/2006/main">
          <x14:cfRule type="dataBar" id="{E68F6144-DAFA-4B65-B6FC-1A6AFFC371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F129:F138</xm:sqref>
        </x14:conditionalFormatting>
        <x14:conditionalFormatting xmlns:xm="http://schemas.microsoft.com/office/excel/2006/main">
          <x14:cfRule type="dataBar" id="{955B3EAE-D23E-4156-86CF-2A059B5575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G129:G138</xm:sqref>
        </x14:conditionalFormatting>
        <x14:conditionalFormatting xmlns:xm="http://schemas.microsoft.com/office/excel/2006/main">
          <x14:cfRule type="dataBar" id="{E70860B2-3DE2-4247-9370-0ECEBD4989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H129:H138</xm:sqref>
        </x14:conditionalFormatting>
        <x14:conditionalFormatting xmlns:xm="http://schemas.microsoft.com/office/excel/2006/main">
          <x14:cfRule type="dataBar" id="{6A0564D3-44A3-4F79-88B7-7EA743FBB6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I129:I138</xm:sqref>
        </x14:conditionalFormatting>
        <x14:conditionalFormatting xmlns:xm="http://schemas.microsoft.com/office/excel/2006/main">
          <x14:cfRule type="dataBar" id="{B5743E00-D7F6-4DD3-A980-77B7B77515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J129:J138</xm:sqref>
        </x14:conditionalFormatting>
        <x14:conditionalFormatting xmlns:xm="http://schemas.microsoft.com/office/excel/2006/main">
          <x14:cfRule type="dataBar" id="{9AD1D8DD-2A44-4DC4-98A6-7E1AB5AB19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K129:K138</xm:sqref>
        </x14:conditionalFormatting>
        <x14:conditionalFormatting xmlns:xm="http://schemas.microsoft.com/office/excel/2006/main">
          <x14:cfRule type="dataBar" id="{F5C0739F-673E-43A0-AF83-2B45C42705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E129:E139</xm:sqref>
        </x14:conditionalFormatting>
        <x14:conditionalFormatting xmlns:xm="http://schemas.microsoft.com/office/excel/2006/main">
          <x14:cfRule type="dataBar" id="{43C27F37-DF87-4860-939B-D62335CF50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F129:F139</xm:sqref>
        </x14:conditionalFormatting>
        <x14:conditionalFormatting xmlns:xm="http://schemas.microsoft.com/office/excel/2006/main">
          <x14:cfRule type="dataBar" id="{41350630-8061-48ED-905A-578E2DFEE5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G129:G139</xm:sqref>
        </x14:conditionalFormatting>
        <x14:conditionalFormatting xmlns:xm="http://schemas.microsoft.com/office/excel/2006/main">
          <x14:cfRule type="dataBar" id="{8976C83F-F4C8-49D7-8A04-16C7A65976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H129:H139</xm:sqref>
        </x14:conditionalFormatting>
        <x14:conditionalFormatting xmlns:xm="http://schemas.microsoft.com/office/excel/2006/main">
          <x14:cfRule type="dataBar" id="{C8BE7CED-3129-4A11-B47D-61182C3E84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I129:I139</xm:sqref>
        </x14:conditionalFormatting>
        <x14:conditionalFormatting xmlns:xm="http://schemas.microsoft.com/office/excel/2006/main">
          <x14:cfRule type="dataBar" id="{19A04FB5-8570-4A3A-8BA3-E96CF82DA6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J129:J139</xm:sqref>
        </x14:conditionalFormatting>
        <x14:conditionalFormatting xmlns:xm="http://schemas.microsoft.com/office/excel/2006/main">
          <x14:cfRule type="dataBar" id="{9EF29295-A261-4551-B0EC-5A4AB2EE3D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K129:K139</xm:sqref>
        </x14:conditionalFormatting>
        <x14:conditionalFormatting xmlns:xm="http://schemas.microsoft.com/office/excel/2006/main">
          <x14:cfRule type="dataBar" id="{DA736BAB-AAE6-4396-B266-50D700AD1B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E58:K60</xm:sqref>
        </x14:conditionalFormatting>
        <x14:conditionalFormatting xmlns:xm="http://schemas.microsoft.com/office/excel/2006/main">
          <x14:cfRule type="dataBar" id="{C045A656-6F8F-424C-AB42-F9C63A0713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E58:K60</xm:sqref>
        </x14:conditionalFormatting>
        <x14:conditionalFormatting xmlns:xm="http://schemas.microsoft.com/office/excel/2006/main">
          <x14:cfRule type="dataBar" id="{AC81F711-4BCA-473D-A63F-97F1F66671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E117:E124 E114:E115</xm:sqref>
        </x14:conditionalFormatting>
        <x14:conditionalFormatting xmlns:xm="http://schemas.microsoft.com/office/excel/2006/main">
          <x14:cfRule type="dataBar" id="{E55970E2-6306-4E1F-9BA4-AC62FDBEDE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E114:E124</xm:sqref>
        </x14:conditionalFormatting>
        <x14:conditionalFormatting xmlns:xm="http://schemas.microsoft.com/office/excel/2006/main">
          <x14:cfRule type="dataBar" id="{0F96B9A9-21B6-4909-824B-C88C0712E6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F114:F115</xm:sqref>
        </x14:conditionalFormatting>
        <x14:conditionalFormatting xmlns:xm="http://schemas.microsoft.com/office/excel/2006/main">
          <x14:cfRule type="dataBar" id="{E2CDF33C-6D8C-4C72-9C49-41D4234030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F117:F124 F114:F115</xm:sqref>
        </x14:conditionalFormatting>
        <x14:conditionalFormatting xmlns:xm="http://schemas.microsoft.com/office/excel/2006/main">
          <x14:cfRule type="dataBar" id="{04231FCD-BBF5-4585-BB96-B1EBBD3137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F114:F124</xm:sqref>
        </x14:conditionalFormatting>
        <x14:conditionalFormatting xmlns:xm="http://schemas.microsoft.com/office/excel/2006/main">
          <x14:cfRule type="dataBar" id="{D858BE3C-05BE-43A8-B655-192DCBB2EC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G114:G115</xm:sqref>
        </x14:conditionalFormatting>
        <x14:conditionalFormatting xmlns:xm="http://schemas.microsoft.com/office/excel/2006/main">
          <x14:cfRule type="dataBar" id="{20C1D45B-3C60-4B85-9CDB-661A477A7A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G117:G124 G114:G115</xm:sqref>
        </x14:conditionalFormatting>
        <x14:conditionalFormatting xmlns:xm="http://schemas.microsoft.com/office/excel/2006/main">
          <x14:cfRule type="dataBar" id="{77D0702C-7522-4CB7-8A40-89E7E9F526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G114:G124</xm:sqref>
        </x14:conditionalFormatting>
        <x14:conditionalFormatting xmlns:xm="http://schemas.microsoft.com/office/excel/2006/main">
          <x14:cfRule type="dataBar" id="{98ABE12C-9BBE-4559-9129-9343ACE7C4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H114:H115</xm:sqref>
        </x14:conditionalFormatting>
        <x14:conditionalFormatting xmlns:xm="http://schemas.microsoft.com/office/excel/2006/main">
          <x14:cfRule type="dataBar" id="{8847A9A4-0ADB-4491-9F73-7057AFBA6E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H117:H124 H114:H115</xm:sqref>
        </x14:conditionalFormatting>
        <x14:conditionalFormatting xmlns:xm="http://schemas.microsoft.com/office/excel/2006/main">
          <x14:cfRule type="dataBar" id="{2F7FB6C0-6E72-415E-89C8-CF8094A659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H114:H124</xm:sqref>
        </x14:conditionalFormatting>
        <x14:conditionalFormatting xmlns:xm="http://schemas.microsoft.com/office/excel/2006/main">
          <x14:cfRule type="dataBar" id="{40228DAA-4DAE-4E56-8E92-F75A514820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I114:I115</xm:sqref>
        </x14:conditionalFormatting>
        <x14:conditionalFormatting xmlns:xm="http://schemas.microsoft.com/office/excel/2006/main">
          <x14:cfRule type="dataBar" id="{77FFE965-31B5-4DF1-B30E-28D1D4359A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I117:I124 I114:I115</xm:sqref>
        </x14:conditionalFormatting>
        <x14:conditionalFormatting xmlns:xm="http://schemas.microsoft.com/office/excel/2006/main">
          <x14:cfRule type="dataBar" id="{738571AD-7533-43DE-A997-DE30DC66D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I114:I124</xm:sqref>
        </x14:conditionalFormatting>
        <x14:conditionalFormatting xmlns:xm="http://schemas.microsoft.com/office/excel/2006/main">
          <x14:cfRule type="dataBar" id="{2BD72946-09F3-437E-8F64-967C88CDED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J114:J115</xm:sqref>
        </x14:conditionalFormatting>
        <x14:conditionalFormatting xmlns:xm="http://schemas.microsoft.com/office/excel/2006/main">
          <x14:cfRule type="dataBar" id="{8CA88966-5083-49DD-A127-76C5925827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J117:J124 J114:J115</xm:sqref>
        </x14:conditionalFormatting>
        <x14:conditionalFormatting xmlns:xm="http://schemas.microsoft.com/office/excel/2006/main">
          <x14:cfRule type="dataBar" id="{5636DC71-D37E-42CC-BD11-2F286CCCFF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J114:J124</xm:sqref>
        </x14:conditionalFormatting>
        <x14:conditionalFormatting xmlns:xm="http://schemas.microsoft.com/office/excel/2006/main">
          <x14:cfRule type="dataBar" id="{431F77A2-7707-438D-BA00-60CED7F171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K114:K115</xm:sqref>
        </x14:conditionalFormatting>
        <x14:conditionalFormatting xmlns:xm="http://schemas.microsoft.com/office/excel/2006/main">
          <x14:cfRule type="dataBar" id="{DB80626B-DEDB-446D-A503-1226B281A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K117:K124 K114:K115</xm:sqref>
        </x14:conditionalFormatting>
        <x14:conditionalFormatting xmlns:xm="http://schemas.microsoft.com/office/excel/2006/main">
          <x14:cfRule type="dataBar" id="{D8CA5435-14D4-4135-985C-E1EB8F9E1F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K114:K124</xm:sqref>
        </x14:conditionalFormatting>
        <x14:conditionalFormatting xmlns:xm="http://schemas.microsoft.com/office/excel/2006/main">
          <x14:cfRule type="dataBar" id="{A392DB0E-4500-47B5-9738-238EA48DB1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E67</xm:sqref>
        </x14:conditionalFormatting>
        <x14:conditionalFormatting xmlns:xm="http://schemas.microsoft.com/office/excel/2006/main">
          <x14:cfRule type="dataBar" id="{BB16D3F3-D3DA-46D9-A025-7AE11532D6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E81:E97</xm:sqref>
        </x14:conditionalFormatting>
        <x14:conditionalFormatting xmlns:xm="http://schemas.microsoft.com/office/excel/2006/main">
          <x14:cfRule type="dataBar" id="{4225F3C4-964E-4E00-8F6D-FD415937F1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F81:F97</xm:sqref>
        </x14:conditionalFormatting>
        <x14:conditionalFormatting xmlns:xm="http://schemas.microsoft.com/office/excel/2006/main">
          <x14:cfRule type="dataBar" id="{CFA36923-9522-4E2F-8EDA-7929505F1A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G81:G97</xm:sqref>
        </x14:conditionalFormatting>
        <x14:conditionalFormatting xmlns:xm="http://schemas.microsoft.com/office/excel/2006/main">
          <x14:cfRule type="dataBar" id="{3C41AAA6-A7A9-49C6-ABF6-D89C05A9A9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H81:H97</xm:sqref>
        </x14:conditionalFormatting>
        <x14:conditionalFormatting xmlns:xm="http://schemas.microsoft.com/office/excel/2006/main">
          <x14:cfRule type="dataBar" id="{48E142A2-1D96-4855-A670-5497404B72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I81:I97</xm:sqref>
        </x14:conditionalFormatting>
        <x14:conditionalFormatting xmlns:xm="http://schemas.microsoft.com/office/excel/2006/main">
          <x14:cfRule type="dataBar" id="{B126935F-1C72-4DB3-9F3D-00D50B83A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J81:J97</xm:sqref>
        </x14:conditionalFormatting>
        <x14:conditionalFormatting xmlns:xm="http://schemas.microsoft.com/office/excel/2006/main">
          <x14:cfRule type="dataBar" id="{F3A14A58-DB73-4AC3-930F-7F6187BE91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K81:K97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DR80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Nuttaphat Huayudomsin</dc:creator>
  <cp:lastModifiedBy>Nuttaphat Huayudomsin</cp:lastModifiedBy>
  <dcterms:created xsi:type="dcterms:W3CDTF">2026-03-02T08:58:34Z</dcterms:created>
  <dcterms:modified xsi:type="dcterms:W3CDTF">2026-03-02T08:59:08Z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4c5ad716-e5f5-4e3e-ae84-37bc50188482</vt:lpwstr>
  </property>
  <property fmtid="{D5CDD505-2E9C-101B-9397-08002B2CF9AE}" pid="3" name="CustomerName">
    <vt:lpwstr>Krung-Thai-Bank</vt:lpwstr>
  </property>
  <property fmtid="{D5CDD505-2E9C-101B-9397-08002B2CF9AE}" pid="4" name="FileId">
    <vt:lpwstr>4c5ad716-e5f5-4e3e-ae84-37bc50188482</vt:lpwstr>
  </property>
  <property fmtid="{D5CDD505-2E9C-101B-9397-08002B2CF9AE}" pid="5" name="UserId">
    <vt:lpwstr>690758</vt:lpwstr>
  </property>
  <property fmtid="{D5CDD505-2E9C-101B-9397-08002B2CF9AE}" pid="6" name="TagDateTime">
    <vt:lpwstr>2569-03-02T08:58:51Z</vt:lpwstr>
  </property>
  <property fmtid="{D5CDD505-2E9C-101B-9397-08002B2CF9AE}" pid="7" name="KTB">
    <vt:lpwstr>Krungthai Bank</vt:lpwstr>
  </property>
  <property fmtid="{D5CDD505-2E9C-101B-9397-08002B2CF9AE}" pid="8" name="GVData">
    <vt:lpwstr>eyJPUyI6IldpbmRvd3MiLCJkb2NJRCI6IjRjNWFkNzE2LWU1ZjUtNGUzZS1hZTg0LTM3YmM1MDE4ODQ4MiIsImRvY1N0YXRlIjoie30iLCJwYXJlbnRMaW5lSWRzIjoiW1wiNmU1MDQyYzQtYzc0YS00MjE2LTk3ZWYtZDkwYjRjMjkzMWFjXCJdIiwid3JpdHRlbktl</vt:lpwstr>
  </property>
  <property fmtid="{D5CDD505-2E9C-101B-9397-08002B2CF9AE}" pid="9" name="GVData0">
    <vt:lpwstr>eXMiOiJbXCJndmRvY2lkXCIsXCJDbGFzc2lmaWNhdGlvblwiLFwiQ3VzdG9tZXJOYW1lXCIsXCJGaWxlSWRcIixcIlVzZXJJZFwiLFwiVGFnRGF0ZVRpbWVcIixcIktUQlwiLFwiQ2xhc3NpZmljYXRpb25HdWlkXCJdIiwibm9PZkd2RGF0YUVudHJpZXMiOiI2Iiwi</vt:lpwstr>
  </property>
  <property fmtid="{D5CDD505-2E9C-101B-9397-08002B2CF9AE}" pid="10" name="GVData1">
    <vt:lpwstr>bGluZUlkIjoiYTJlOGVmMjgtYjU3Mi00ZWRiLWI2YjYtZGRiNGQ5ZDY2ODFjIiwidGFnc2V0X2UxNjQwOWE3XzE3MDBfNDE1M185MDkwXzM5NTViYzJmMGFlOF9jbGFzc2lmaWNhdGlvbiI6IkludGVybmFsIFVzZSBPbmx5In0=</vt:lpwstr>
  </property>
  <property fmtid="{D5CDD505-2E9C-101B-9397-08002B2CF9AE}" pid="11" name="Classification">
    <vt:lpwstr>Internal Use Only</vt:lpwstr>
  </property>
  <property fmtid="{D5CDD505-2E9C-101B-9397-08002B2CF9AE}" pid="12" name="ClassificationGuid">
    <vt:lpwstr>f285edd1-3d27-aaad-f040-29ba27c5e7f3</vt:lpwstr>
  </property>
  <property fmtid="{D5CDD505-2E9C-101B-9397-08002B2CF9AE}" pid="13" name="GVData2">
    <vt:lpwstr>(end)</vt:lpwstr>
  </property>
</Properties>
</file>